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Matrix" sheetId="1" state="visible" r:id="rId1"/>
    <sheet name="Primitive Vocabulary" sheetId="2" state="visible" r:id="rId2"/>
    <sheet name="Pipeline Library" sheetId="3" state="visible" r:id="rId3"/>
    <sheet name="Type Check" sheetId="4" state="visible" r:id="rId4"/>
    <sheet name="Category x Primitive" sheetId="5" state="visible" r:id="rId5"/>
    <sheet name="Method and Rules" sheetId="6" state="visible" r:id="rId6"/>
  </sheets>
  <definedNames>
    <definedName name="_xlnm._FilterDatabase" localSheetId="0" hidden="1">'Classification Matrix'!$A$1:$N$307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FF00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/>
    </xf>
    <xf numFmtId="0" fontId="5" fillId="0" borderId="1" pivotButton="0" quotePrefix="0" xfId="0"/>
    <xf numFmtId="164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4" borderId="1" applyAlignment="1" pivotButton="0" quotePrefix="0" xfId="0">
      <alignment horizontal="center"/>
    </xf>
    <xf numFmtId="0" fontId="5" fillId="4" borderId="1" pivotButton="0" quotePrefix="0" xfId="0"/>
    <xf numFmtId="164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pivotButton="0" quotePrefix="0" xfId="0"/>
    <xf numFmtId="0" fontId="5" fillId="5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6" customWidth="1" min="4" max="4"/>
    <col width="24" customWidth="1" min="5" max="5"/>
    <col width="46" customWidth="1" min="6" max="6"/>
    <col width="12" customWidth="1" min="7" max="7"/>
    <col width="12" customWidth="1" min="8" max="8"/>
    <col width="12" customWidth="1" min="9" max="9"/>
    <col width="30" customWidth="1" min="10" max="10"/>
    <col width="7" customWidth="1" min="11" max="11"/>
    <col width="11" customWidth="1" min="12" max="12"/>
    <col width="11" customWidth="1" min="13" max="13"/>
    <col width="52" customWidth="1" min="14" max="14"/>
  </cols>
  <sheetData>
    <row r="1" ht="42" customHeight="1">
      <c r="A1" s="1" t="inlineStr">
        <is>
          <t>#</t>
        </is>
      </c>
      <c r="B1" s="1" t="inlineStr">
        <is>
          <t>Skill code</t>
        </is>
      </c>
      <c r="C1" s="1" t="inlineStr">
        <is>
          <t>Curriculum skill</t>
        </is>
      </c>
      <c r="D1" s="1" t="inlineStr">
        <is>
          <t>Cat.</t>
        </is>
      </c>
      <c r="E1" s="1" t="inlineStr">
        <is>
          <t>IXL category name</t>
        </is>
      </c>
      <c r="F1" s="1" t="inlineStr">
        <is>
          <t>Reasoning: what the student is actually doing</t>
        </is>
      </c>
      <c r="G1" s="1" t="inlineStr">
        <is>
          <t>Step 1</t>
        </is>
      </c>
      <c r="H1" s="1" t="inlineStr">
        <is>
          <t>Step 2</t>
        </is>
      </c>
      <c r="I1" s="1" t="inlineStr">
        <is>
          <t>Step 3</t>
        </is>
      </c>
      <c r="J1" s="1" t="inlineStr">
        <is>
          <t>Pipeline</t>
        </is>
      </c>
      <c r="K1" s="1" t="inlineStr">
        <is>
          <t>Steps</t>
        </is>
      </c>
      <c r="L1" s="1" t="inlineStr">
        <is>
          <t>Composed?</t>
        </is>
      </c>
      <c r="M1" s="1" t="inlineStr">
        <is>
          <t>Type-checks?</t>
        </is>
      </c>
      <c r="N1" s="1" t="inlineStr">
        <is>
          <t>Changed in v2 re-pass</t>
        </is>
      </c>
    </row>
    <row r="2">
      <c r="A2" s="2" t="n">
        <v>1</v>
      </c>
      <c r="B2" s="3" t="inlineStr">
        <is>
          <t>A.1</t>
        </is>
      </c>
      <c r="C2" s="3" t="inlineStr">
        <is>
          <t>Factors</t>
        </is>
      </c>
      <c r="D2" s="3" t="inlineStr">
        <is>
          <t>A</t>
        </is>
      </c>
      <c r="E2" s="3" t="inlineStr">
        <is>
          <t>Numbers</t>
        </is>
      </c>
      <c r="F2" s="3" t="inlineStr">
        <is>
          <t>Break a number into its multiplicative parts</t>
        </is>
      </c>
      <c r="G2" s="3" t="inlineStr">
        <is>
          <t>Decompose</t>
        </is>
      </c>
      <c r="H2" s="3" t="inlineStr"/>
      <c r="I2" s="3" t="inlineStr"/>
      <c r="J2" s="3" t="inlineStr">
        <is>
          <t>Decompose</t>
        </is>
      </c>
      <c r="K2" s="2">
        <f>COUNTA(G2:I2)</f>
        <v/>
      </c>
      <c r="L2" s="2">
        <f>IF(K2&gt;1,"Composed","Atomic")</f>
        <v/>
      </c>
      <c r="M2" s="4" t="inlineStr">
        <is>
          <t>Pass</t>
        </is>
      </c>
      <c r="N2" s="3" t="inlineStr"/>
    </row>
    <row r="3">
      <c r="A3" s="5" t="n">
        <v>2</v>
      </c>
      <c r="B3" s="6" t="inlineStr">
        <is>
          <t>A.2</t>
        </is>
      </c>
      <c r="C3" s="6" t="inlineStr">
        <is>
          <t>Prime factorization</t>
        </is>
      </c>
      <c r="D3" s="6" t="inlineStr">
        <is>
          <t>A</t>
        </is>
      </c>
      <c r="E3" s="6" t="inlineStr">
        <is>
          <t>Numbers</t>
        </is>
      </c>
      <c r="F3" s="6" t="inlineStr">
        <is>
          <t>Break a number into irreducible components</t>
        </is>
      </c>
      <c r="G3" s="6" t="inlineStr">
        <is>
          <t>Decompose</t>
        </is>
      </c>
      <c r="H3" s="6" t="inlineStr"/>
      <c r="I3" s="6" t="inlineStr"/>
      <c r="J3" s="6" t="inlineStr">
        <is>
          <t>Decompose</t>
        </is>
      </c>
      <c r="K3" s="5">
        <f>COUNTA(G3:I3)</f>
        <v/>
      </c>
      <c r="L3" s="5">
        <f>IF(K3&gt;1,"Composed","Atomic")</f>
        <v/>
      </c>
      <c r="M3" s="4" t="inlineStr">
        <is>
          <t>Pass</t>
        </is>
      </c>
      <c r="N3" s="6" t="inlineStr"/>
    </row>
    <row r="4">
      <c r="A4" s="2" t="n">
        <v>3</v>
      </c>
      <c r="B4" s="3" t="inlineStr">
        <is>
          <t>A.3</t>
        </is>
      </c>
      <c r="C4" s="3" t="inlineStr">
        <is>
          <t>Greatest common factor</t>
        </is>
      </c>
      <c r="D4" s="3" t="inlineStr">
        <is>
          <t>A</t>
        </is>
      </c>
      <c r="E4" s="3" t="inlineStr">
        <is>
          <t>Numbers</t>
        </is>
      </c>
      <c r="F4" s="3" t="inlineStr">
        <is>
          <t>Decompose both numbers, then compare shared parts</t>
        </is>
      </c>
      <c r="G4" s="3" t="inlineStr">
        <is>
          <t>Decompose</t>
        </is>
      </c>
      <c r="H4" s="3" t="inlineStr">
        <is>
          <t>Compare</t>
        </is>
      </c>
      <c r="I4" s="3" t="inlineStr"/>
      <c r="J4" s="3" t="inlineStr">
        <is>
          <t>Decompose -&gt; Compare</t>
        </is>
      </c>
      <c r="K4" s="2">
        <f>COUNTA(G4:I4)</f>
        <v/>
      </c>
      <c r="L4" s="2">
        <f>IF(K4&gt;1,"Composed","Atomic")</f>
        <v/>
      </c>
      <c r="M4" s="4" t="inlineStr">
        <is>
          <t>Pass</t>
        </is>
      </c>
      <c r="N4" s="3" t="inlineStr"/>
    </row>
    <row r="5">
      <c r="A5" s="5" t="n">
        <v>4</v>
      </c>
      <c r="B5" s="6" t="inlineStr">
        <is>
          <t>A.4</t>
        </is>
      </c>
      <c r="C5" s="6" t="inlineStr">
        <is>
          <t>Least common multiple</t>
        </is>
      </c>
      <c r="D5" s="6" t="inlineStr">
        <is>
          <t>A</t>
        </is>
      </c>
      <c r="E5" s="6" t="inlineStr">
        <is>
          <t>Numbers</t>
        </is>
      </c>
      <c r="F5" s="6" t="inlineStr">
        <is>
          <t>Decompose, then rebuild the smallest shared whole</t>
        </is>
      </c>
      <c r="G5" s="6" t="inlineStr">
        <is>
          <t>Decompose</t>
        </is>
      </c>
      <c r="H5" s="6" t="inlineStr">
        <is>
          <t>Compose</t>
        </is>
      </c>
      <c r="I5" s="6" t="inlineStr"/>
      <c r="J5" s="6" t="inlineStr">
        <is>
          <t>Decompose -&gt; Compose</t>
        </is>
      </c>
      <c r="K5" s="5">
        <f>COUNTA(G5:I5)</f>
        <v/>
      </c>
      <c r="L5" s="5">
        <f>IF(K5&gt;1,"Composed","Atomic")</f>
        <v/>
      </c>
      <c r="M5" s="4" t="inlineStr">
        <is>
          <t>Pass</t>
        </is>
      </c>
      <c r="N5" s="6" t="inlineStr"/>
    </row>
    <row r="6">
      <c r="A6" s="2" t="n">
        <v>5</v>
      </c>
      <c r="B6" s="3" t="inlineStr">
        <is>
          <t>A.5</t>
        </is>
      </c>
      <c r="C6" s="3" t="inlineStr">
        <is>
          <t>GCF and LCM: word problems</t>
        </is>
      </c>
      <c r="D6" s="3" t="inlineStr">
        <is>
          <t>A</t>
        </is>
      </c>
      <c r="E6" s="3" t="inlineStr">
        <is>
          <t>Numbers</t>
        </is>
      </c>
      <c r="F6" s="3" t="inlineStr">
        <is>
          <t>Translate a situation, then decompose numbers</t>
        </is>
      </c>
      <c r="G6" s="3" t="inlineStr">
        <is>
          <t>Represent</t>
        </is>
      </c>
      <c r="H6" s="3" t="inlineStr">
        <is>
          <t>Decompose</t>
        </is>
      </c>
      <c r="I6" s="3" t="inlineStr">
        <is>
          <t>Compare</t>
        </is>
      </c>
      <c r="J6" s="3" t="inlineStr">
        <is>
          <t>Represent -&gt; Decompose -&gt; Compare</t>
        </is>
      </c>
      <c r="K6" s="2">
        <f>COUNTA(G6:I6)</f>
        <v/>
      </c>
      <c r="L6" s="2">
        <f>IF(K6&gt;1,"Composed","Atomic")</f>
        <v/>
      </c>
      <c r="M6" s="4" t="inlineStr">
        <is>
          <t>Pass</t>
        </is>
      </c>
      <c r="N6" s="3" t="inlineStr">
        <is>
          <t>Was Represent+Decompose. Cap hid the Compare step.</t>
        </is>
      </c>
    </row>
    <row r="7">
      <c r="A7" s="5" t="n">
        <v>6</v>
      </c>
      <c r="B7" s="6" t="inlineStr">
        <is>
          <t>A.6</t>
        </is>
      </c>
      <c r="C7" s="6" t="inlineStr">
        <is>
          <t>Square roots</t>
        </is>
      </c>
      <c r="D7" s="6" t="inlineStr">
        <is>
          <t>A</t>
        </is>
      </c>
      <c r="E7" s="6" t="inlineStr">
        <is>
          <t>Numbers</t>
        </is>
      </c>
      <c r="F7" s="6" t="inlineStr">
        <is>
          <t>Rewrite a number as its inverse-power equivalent</t>
        </is>
      </c>
      <c r="G7" s="6" t="inlineStr">
        <is>
          <t>Transform</t>
        </is>
      </c>
      <c r="H7" s="6" t="inlineStr"/>
      <c r="I7" s="6" t="inlineStr"/>
      <c r="J7" s="6" t="inlineStr">
        <is>
          <t>Transform</t>
        </is>
      </c>
      <c r="K7" s="5">
        <f>COUNTA(G7:I7)</f>
        <v/>
      </c>
      <c r="L7" s="5">
        <f>IF(K7&gt;1,"Composed","Atomic")</f>
        <v/>
      </c>
      <c r="M7" s="4" t="inlineStr">
        <is>
          <t>Pass</t>
        </is>
      </c>
      <c r="N7" s="6" t="inlineStr"/>
    </row>
    <row r="8">
      <c r="A8" s="2" t="n">
        <v>7</v>
      </c>
      <c r="B8" s="3" t="inlineStr">
        <is>
          <t>A.7</t>
        </is>
      </c>
      <c r="C8" s="3" t="inlineStr">
        <is>
          <t>Cube roots</t>
        </is>
      </c>
      <c r="D8" s="3" t="inlineStr">
        <is>
          <t>A</t>
        </is>
      </c>
      <c r="E8" s="3" t="inlineStr">
        <is>
          <t>Numbers</t>
        </is>
      </c>
      <c r="F8" s="3" t="inlineStr">
        <is>
          <t>Rewrite a number as its inverse-power equivalent</t>
        </is>
      </c>
      <c r="G8" s="3" t="inlineStr">
        <is>
          <t>Transform</t>
        </is>
      </c>
      <c r="H8" s="3" t="inlineStr"/>
      <c r="I8" s="3" t="inlineStr"/>
      <c r="J8" s="3" t="inlineStr">
        <is>
          <t>Transform</t>
        </is>
      </c>
      <c r="K8" s="2">
        <f>COUNTA(G8:I8)</f>
        <v/>
      </c>
      <c r="L8" s="2">
        <f>IF(K8&gt;1,"Composed","Atomic")</f>
        <v/>
      </c>
      <c r="M8" s="4" t="inlineStr">
        <is>
          <t>Pass</t>
        </is>
      </c>
      <c r="N8" s="3" t="inlineStr"/>
    </row>
    <row r="9">
      <c r="A9" s="5" t="n">
        <v>8</v>
      </c>
      <c r="B9" s="6" t="inlineStr">
        <is>
          <t>A.8</t>
        </is>
      </c>
      <c r="C9" s="6" t="inlineStr">
        <is>
          <t>Classify rational and irrational numbers</t>
        </is>
      </c>
      <c r="D9" s="6" t="inlineStr">
        <is>
          <t>A</t>
        </is>
      </c>
      <c r="E9" s="6" t="inlineStr">
        <is>
          <t>Numbers</t>
        </is>
      </c>
      <c r="F9" s="6" t="inlineStr">
        <is>
          <t>Assign an object to a category by its properties</t>
        </is>
      </c>
      <c r="G9" s="6" t="inlineStr">
        <is>
          <t>Identify</t>
        </is>
      </c>
      <c r="H9" s="6" t="inlineStr"/>
      <c r="I9" s="6" t="inlineStr"/>
      <c r="J9" s="6" t="inlineStr">
        <is>
          <t>Identify</t>
        </is>
      </c>
      <c r="K9" s="5">
        <f>COUNTA(G9:I9)</f>
        <v/>
      </c>
      <c r="L9" s="5">
        <f>IF(K9&gt;1,"Composed","Atomic")</f>
        <v/>
      </c>
      <c r="M9" s="4" t="inlineStr">
        <is>
          <t>Pass</t>
        </is>
      </c>
      <c r="N9" s="6" t="inlineStr"/>
    </row>
    <row r="10">
      <c r="A10" s="2" t="n">
        <v>9</v>
      </c>
      <c r="B10" s="3" t="inlineStr">
        <is>
          <t>A.9</t>
        </is>
      </c>
      <c r="C10" s="3" t="inlineStr">
        <is>
          <t>Classify numbers</t>
        </is>
      </c>
      <c r="D10" s="3" t="inlineStr">
        <is>
          <t>A</t>
        </is>
      </c>
      <c r="E10" s="3" t="inlineStr">
        <is>
          <t>Numbers</t>
        </is>
      </c>
      <c r="F10" s="3" t="inlineStr">
        <is>
          <t>Assign an object to a category by its properties</t>
        </is>
      </c>
      <c r="G10" s="3" t="inlineStr">
        <is>
          <t>Identify</t>
        </is>
      </c>
      <c r="H10" s="3" t="inlineStr"/>
      <c r="I10" s="3" t="inlineStr"/>
      <c r="J10" s="3" t="inlineStr">
        <is>
          <t>Identify</t>
        </is>
      </c>
      <c r="K10" s="2">
        <f>COUNTA(G10:I10)</f>
        <v/>
      </c>
      <c r="L10" s="2">
        <f>IF(K10&gt;1,"Composed","Atomic")</f>
        <v/>
      </c>
      <c r="M10" s="4" t="inlineStr">
        <is>
          <t>Pass</t>
        </is>
      </c>
      <c r="N10" s="3" t="inlineStr"/>
    </row>
    <row r="11">
      <c r="A11" s="5" t="n">
        <v>10</v>
      </c>
      <c r="B11" s="6" t="inlineStr">
        <is>
          <t>A.10</t>
        </is>
      </c>
      <c r="C11" s="6" t="inlineStr">
        <is>
          <t>Compare and order rational numbers</t>
        </is>
      </c>
      <c r="D11" s="6" t="inlineStr">
        <is>
          <t>A</t>
        </is>
      </c>
      <c r="E11" s="6" t="inlineStr">
        <is>
          <t>Numbers</t>
        </is>
      </c>
      <c r="F11" s="6" t="inlineStr">
        <is>
          <t>Judge relative magnitude</t>
        </is>
      </c>
      <c r="G11" s="6" t="inlineStr">
        <is>
          <t>Compare</t>
        </is>
      </c>
      <c r="H11" s="6" t="inlineStr"/>
      <c r="I11" s="6" t="inlineStr"/>
      <c r="J11" s="6" t="inlineStr">
        <is>
          <t>Compare</t>
        </is>
      </c>
      <c r="K11" s="5">
        <f>COUNTA(G11:I11)</f>
        <v/>
      </c>
      <c r="L11" s="5">
        <f>IF(K11&gt;1,"Composed","Atomic")</f>
        <v/>
      </c>
      <c r="M11" s="4" t="inlineStr">
        <is>
          <t>Pass</t>
        </is>
      </c>
      <c r="N11" s="6" t="inlineStr"/>
    </row>
    <row r="12">
      <c r="A12" s="2" t="n">
        <v>11</v>
      </c>
      <c r="B12" s="3" t="inlineStr">
        <is>
          <t>A.11</t>
        </is>
      </c>
      <c r="C12" s="3" t="inlineStr">
        <is>
          <t>Absolute value and opposites</t>
        </is>
      </c>
      <c r="D12" s="3" t="inlineStr">
        <is>
          <t>A</t>
        </is>
      </c>
      <c r="E12" s="3" t="inlineStr">
        <is>
          <t>Numbers</t>
        </is>
      </c>
      <c r="F12" s="3" t="inlineStr">
        <is>
          <t>Rewrite a number under a distance/sign operation</t>
        </is>
      </c>
      <c r="G12" s="3" t="inlineStr">
        <is>
          <t>Transform</t>
        </is>
      </c>
      <c r="H12" s="3" t="inlineStr"/>
      <c r="I12" s="3" t="inlineStr"/>
      <c r="J12" s="3" t="inlineStr">
        <is>
          <t>Transform</t>
        </is>
      </c>
      <c r="K12" s="2">
        <f>COUNTA(G12:I12)</f>
        <v/>
      </c>
      <c r="L12" s="2">
        <f>IF(K12&gt;1,"Composed","Atomic")</f>
        <v/>
      </c>
      <c r="M12" s="4" t="inlineStr">
        <is>
          <t>Pass</t>
        </is>
      </c>
      <c r="N12" s="3" t="inlineStr">
        <is>
          <t>Was Transform+Measure. Applying the operation is Transform.</t>
        </is>
      </c>
    </row>
    <row r="13">
      <c r="A13" s="5" t="n">
        <v>12</v>
      </c>
      <c r="B13" s="6" t="inlineStr">
        <is>
          <t>A.12</t>
        </is>
      </c>
      <c r="C13" s="6" t="inlineStr">
        <is>
          <t>Number lines</t>
        </is>
      </c>
      <c r="D13" s="6" t="inlineStr">
        <is>
          <t>A</t>
        </is>
      </c>
      <c r="E13" s="6" t="inlineStr">
        <is>
          <t>Numbers</t>
        </is>
      </c>
      <c r="F13" s="6" t="inlineStr">
        <is>
          <t>Place quantity onto a spatial representation</t>
        </is>
      </c>
      <c r="G13" s="6" t="inlineStr">
        <is>
          <t>Represent</t>
        </is>
      </c>
      <c r="H13" s="6" t="inlineStr"/>
      <c r="I13" s="6" t="inlineStr"/>
      <c r="J13" s="6" t="inlineStr">
        <is>
          <t>Represent</t>
        </is>
      </c>
      <c r="K13" s="5">
        <f>COUNTA(G13:I13)</f>
        <v/>
      </c>
      <c r="L13" s="5">
        <f>IF(K13&gt;1,"Composed","Atomic")</f>
        <v/>
      </c>
      <c r="M13" s="4" t="inlineStr">
        <is>
          <t>Pass</t>
        </is>
      </c>
      <c r="N13" s="6" t="inlineStr"/>
    </row>
    <row r="14">
      <c r="A14" s="2" t="n">
        <v>13</v>
      </c>
      <c r="B14" s="3" t="inlineStr">
        <is>
          <t>A.13</t>
        </is>
      </c>
      <c r="C14" s="3" t="inlineStr">
        <is>
          <t>Convert between decimals and fractions</t>
        </is>
      </c>
      <c r="D14" s="3" t="inlineStr">
        <is>
          <t>A</t>
        </is>
      </c>
      <c r="E14" s="3" t="inlineStr">
        <is>
          <t>Numbers</t>
        </is>
      </c>
      <c r="F14" s="3" t="inlineStr">
        <is>
          <t>Rewrite the same value in another notation</t>
        </is>
      </c>
      <c r="G14" s="3" t="inlineStr">
        <is>
          <t>Transform</t>
        </is>
      </c>
      <c r="H14" s="3" t="inlineStr"/>
      <c r="I14" s="3" t="inlineStr"/>
      <c r="J14" s="3" t="inlineStr">
        <is>
          <t>Transform</t>
        </is>
      </c>
      <c r="K14" s="2">
        <f>COUNTA(G14:I14)</f>
        <v/>
      </c>
      <c r="L14" s="2">
        <f>IF(K14&gt;1,"Composed","Atomic")</f>
        <v/>
      </c>
      <c r="M14" s="4" t="inlineStr">
        <is>
          <t>Pass</t>
        </is>
      </c>
      <c r="N14" s="3" t="inlineStr"/>
    </row>
    <row r="15">
      <c r="A15" s="5" t="n">
        <v>14</v>
      </c>
      <c r="B15" s="6" t="inlineStr">
        <is>
          <t>B.1</t>
        </is>
      </c>
      <c r="C15" s="6" t="inlineStr">
        <is>
          <t>Powers with integer bases</t>
        </is>
      </c>
      <c r="D15" s="6" t="inlineStr">
        <is>
          <t>B</t>
        </is>
      </c>
      <c r="E15" s="6" t="inlineStr">
        <is>
          <t>Exponents</t>
        </is>
      </c>
      <c r="F15" s="6" t="inlineStr">
        <is>
          <t>Rewrite a power in expanded/evaluated form</t>
        </is>
      </c>
      <c r="G15" s="6" t="inlineStr">
        <is>
          <t>Transform</t>
        </is>
      </c>
      <c r="H15" s="6" t="inlineStr"/>
      <c r="I15" s="6" t="inlineStr"/>
      <c r="J15" s="6" t="inlineStr">
        <is>
          <t>Transform</t>
        </is>
      </c>
      <c r="K15" s="5">
        <f>COUNTA(G15:I15)</f>
        <v/>
      </c>
      <c r="L15" s="5">
        <f>IF(K15&gt;1,"Composed","Atomic")</f>
        <v/>
      </c>
      <c r="M15" s="4" t="inlineStr">
        <is>
          <t>Pass</t>
        </is>
      </c>
      <c r="N15" s="6" t="inlineStr"/>
    </row>
    <row r="16">
      <c r="A16" s="2" t="n">
        <v>15</v>
      </c>
      <c r="B16" s="3" t="inlineStr">
        <is>
          <t>B.2</t>
        </is>
      </c>
      <c r="C16" s="3" t="inlineStr">
        <is>
          <t>Powers with decimal and fractional bases</t>
        </is>
      </c>
      <c r="D16" s="3" t="inlineStr">
        <is>
          <t>B</t>
        </is>
      </c>
      <c r="E16" s="3" t="inlineStr">
        <is>
          <t>Exponents</t>
        </is>
      </c>
      <c r="F16" s="3" t="inlineStr">
        <is>
          <t>Rewrite a power in expanded/evaluated form</t>
        </is>
      </c>
      <c r="G16" s="3" t="inlineStr">
        <is>
          <t>Transform</t>
        </is>
      </c>
      <c r="H16" s="3" t="inlineStr"/>
      <c r="I16" s="3" t="inlineStr"/>
      <c r="J16" s="3" t="inlineStr">
        <is>
          <t>Transform</t>
        </is>
      </c>
      <c r="K16" s="2">
        <f>COUNTA(G16:I16)</f>
        <v/>
      </c>
      <c r="L16" s="2">
        <f>IF(K16&gt;1,"Composed","Atomic")</f>
        <v/>
      </c>
      <c r="M16" s="4" t="inlineStr">
        <is>
          <t>Pass</t>
        </is>
      </c>
      <c r="N16" s="3" t="inlineStr"/>
    </row>
    <row r="17">
      <c r="A17" s="5" t="n">
        <v>16</v>
      </c>
      <c r="B17" s="6" t="inlineStr">
        <is>
          <t>B.3</t>
        </is>
      </c>
      <c r="C17" s="6" t="inlineStr">
        <is>
          <t>Negative exponents</t>
        </is>
      </c>
      <c r="D17" s="6" t="inlineStr">
        <is>
          <t>B</t>
        </is>
      </c>
      <c r="E17" s="6" t="inlineStr">
        <is>
          <t>Exponents</t>
        </is>
      </c>
      <c r="F17" s="6" t="inlineStr">
        <is>
          <t>Rewrite using an equivalent-form rule</t>
        </is>
      </c>
      <c r="G17" s="6" t="inlineStr">
        <is>
          <t>Transform</t>
        </is>
      </c>
      <c r="H17" s="6" t="inlineStr"/>
      <c r="I17" s="6" t="inlineStr"/>
      <c r="J17" s="6" t="inlineStr">
        <is>
          <t>Transform</t>
        </is>
      </c>
      <c r="K17" s="5">
        <f>COUNTA(G17:I17)</f>
        <v/>
      </c>
      <c r="L17" s="5">
        <f>IF(K17&gt;1,"Composed","Atomic")</f>
        <v/>
      </c>
      <c r="M17" s="4" t="inlineStr">
        <is>
          <t>Pass</t>
        </is>
      </c>
      <c r="N17" s="6" t="inlineStr"/>
    </row>
    <row r="18">
      <c r="A18" s="2" t="n">
        <v>17</v>
      </c>
      <c r="B18" s="3" t="inlineStr">
        <is>
          <t>B.4</t>
        </is>
      </c>
      <c r="C18" s="3" t="inlineStr">
        <is>
          <t>Multiplication with exponents</t>
        </is>
      </c>
      <c r="D18" s="3" t="inlineStr">
        <is>
          <t>B</t>
        </is>
      </c>
      <c r="E18" s="3" t="inlineStr">
        <is>
          <t>Exponents</t>
        </is>
      </c>
      <c r="F18" s="3" t="inlineStr">
        <is>
          <t>Rewrite using an equivalent-form rule</t>
        </is>
      </c>
      <c r="G18" s="3" t="inlineStr">
        <is>
          <t>Transform</t>
        </is>
      </c>
      <c r="H18" s="3" t="inlineStr"/>
      <c r="I18" s="3" t="inlineStr"/>
      <c r="J18" s="3" t="inlineStr">
        <is>
          <t>Transform</t>
        </is>
      </c>
      <c r="K18" s="2">
        <f>COUNTA(G18:I18)</f>
        <v/>
      </c>
      <c r="L18" s="2">
        <f>IF(K18&gt;1,"Composed","Atomic")</f>
        <v/>
      </c>
      <c r="M18" s="4" t="inlineStr">
        <is>
          <t>Pass</t>
        </is>
      </c>
      <c r="N18" s="3" t="inlineStr"/>
    </row>
    <row r="19">
      <c r="A19" s="5" t="n">
        <v>18</v>
      </c>
      <c r="B19" s="6" t="inlineStr">
        <is>
          <t>B.5</t>
        </is>
      </c>
      <c r="C19" s="6" t="inlineStr">
        <is>
          <t>Division with exponents</t>
        </is>
      </c>
      <c r="D19" s="6" t="inlineStr">
        <is>
          <t>B</t>
        </is>
      </c>
      <c r="E19" s="6" t="inlineStr">
        <is>
          <t>Exponents</t>
        </is>
      </c>
      <c r="F19" s="6" t="inlineStr">
        <is>
          <t>Rewrite using an equivalent-form rule</t>
        </is>
      </c>
      <c r="G19" s="6" t="inlineStr">
        <is>
          <t>Transform</t>
        </is>
      </c>
      <c r="H19" s="6" t="inlineStr"/>
      <c r="I19" s="6" t="inlineStr"/>
      <c r="J19" s="6" t="inlineStr">
        <is>
          <t>Transform</t>
        </is>
      </c>
      <c r="K19" s="5">
        <f>COUNTA(G19:I19)</f>
        <v/>
      </c>
      <c r="L19" s="5">
        <f>IF(K19&gt;1,"Composed","Atomic")</f>
        <v/>
      </c>
      <c r="M19" s="4" t="inlineStr">
        <is>
          <t>Pass</t>
        </is>
      </c>
      <c r="N19" s="6" t="inlineStr"/>
    </row>
    <row r="20">
      <c r="A20" s="2" t="n">
        <v>19</v>
      </c>
      <c r="B20" s="3" t="inlineStr">
        <is>
          <t>B.6</t>
        </is>
      </c>
      <c r="C20" s="3" t="inlineStr">
        <is>
          <t>Multiplication and division with exponents</t>
        </is>
      </c>
      <c r="D20" s="3" t="inlineStr">
        <is>
          <t>B</t>
        </is>
      </c>
      <c r="E20" s="3" t="inlineStr">
        <is>
          <t>Exponents</t>
        </is>
      </c>
      <c r="F20" s="3" t="inlineStr">
        <is>
          <t>Rewrite using an equivalent-form rule</t>
        </is>
      </c>
      <c r="G20" s="3" t="inlineStr">
        <is>
          <t>Transform</t>
        </is>
      </c>
      <c r="H20" s="3" t="inlineStr"/>
      <c r="I20" s="3" t="inlineStr"/>
      <c r="J20" s="3" t="inlineStr">
        <is>
          <t>Transform</t>
        </is>
      </c>
      <c r="K20" s="2">
        <f>COUNTA(G20:I20)</f>
        <v/>
      </c>
      <c r="L20" s="2">
        <f>IF(K20&gt;1,"Composed","Atomic")</f>
        <v/>
      </c>
      <c r="M20" s="4" t="inlineStr">
        <is>
          <t>Pass</t>
        </is>
      </c>
      <c r="N20" s="3" t="inlineStr"/>
    </row>
    <row r="21">
      <c r="A21" s="5" t="n">
        <v>20</v>
      </c>
      <c r="B21" s="6" t="inlineStr">
        <is>
          <t>B.7</t>
        </is>
      </c>
      <c r="C21" s="6" t="inlineStr">
        <is>
          <t>Power rule</t>
        </is>
      </c>
      <c r="D21" s="6" t="inlineStr">
        <is>
          <t>B</t>
        </is>
      </c>
      <c r="E21" s="6" t="inlineStr">
        <is>
          <t>Exponents</t>
        </is>
      </c>
      <c r="F21" s="6" t="inlineStr">
        <is>
          <t>Apply a general rewrite rule to any instance</t>
        </is>
      </c>
      <c r="G21" s="6" t="inlineStr">
        <is>
          <t>Transform</t>
        </is>
      </c>
      <c r="H21" s="6" t="inlineStr"/>
      <c r="I21" s="6" t="inlineStr"/>
      <c r="J21" s="6" t="inlineStr">
        <is>
          <t>Transform</t>
        </is>
      </c>
      <c r="K21" s="5">
        <f>COUNTA(G21:I21)</f>
        <v/>
      </c>
      <c r="L21" s="5">
        <f>IF(K21&gt;1,"Composed","Atomic")</f>
        <v/>
      </c>
      <c r="M21" s="4" t="inlineStr">
        <is>
          <t>Pass</t>
        </is>
      </c>
      <c r="N21" s="6" t="inlineStr">
        <is>
          <t>Was Transform+Generalize. Applying the power rule is Transform executing its own rule, not generalizing.</t>
        </is>
      </c>
    </row>
    <row r="22">
      <c r="A22" s="2" t="n">
        <v>21</v>
      </c>
      <c r="B22" s="3" t="inlineStr">
        <is>
          <t>B.8</t>
        </is>
      </c>
      <c r="C22" s="3" t="inlineStr">
        <is>
          <t>Evaluate expressions using properties of exponents</t>
        </is>
      </c>
      <c r="D22" s="3" t="inlineStr">
        <is>
          <t>B</t>
        </is>
      </c>
      <c r="E22" s="3" t="inlineStr">
        <is>
          <t>Exponents</t>
        </is>
      </c>
      <c r="F22" s="3" t="inlineStr">
        <is>
          <t>Rewrite to canonical numeric form</t>
        </is>
      </c>
      <c r="G22" s="3" t="inlineStr">
        <is>
          <t>Transform</t>
        </is>
      </c>
      <c r="H22" s="3" t="inlineStr"/>
      <c r="I22" s="3" t="inlineStr"/>
      <c r="J22" s="3" t="inlineStr">
        <is>
          <t>Transform</t>
        </is>
      </c>
      <c r="K22" s="2">
        <f>COUNTA(G22:I22)</f>
        <v/>
      </c>
      <c r="L22" s="2">
        <f>IF(K22&gt;1,"Composed","Atomic")</f>
        <v/>
      </c>
      <c r="M22" s="4" t="inlineStr">
        <is>
          <t>Pass</t>
        </is>
      </c>
      <c r="N22" s="3" t="inlineStr"/>
    </row>
    <row r="23">
      <c r="A23" s="5" t="n">
        <v>22</v>
      </c>
      <c r="B23" s="6" t="inlineStr">
        <is>
          <t>B.9</t>
        </is>
      </c>
      <c r="C23" s="6" t="inlineStr">
        <is>
          <t>Identify equivalent expressions involving exponents</t>
        </is>
      </c>
      <c r="D23" s="6" t="inlineStr">
        <is>
          <t>B</t>
        </is>
      </c>
      <c r="E23" s="6" t="inlineStr">
        <is>
          <t>Exponents</t>
        </is>
      </c>
      <c r="F23" s="6" t="inlineStr">
        <is>
          <t>Rewrite candidates, then test sameness</t>
        </is>
      </c>
      <c r="G23" s="6" t="inlineStr">
        <is>
          <t>Transform</t>
        </is>
      </c>
      <c r="H23" s="6" t="inlineStr">
        <is>
          <t>Compare</t>
        </is>
      </c>
      <c r="I23" s="6" t="inlineStr"/>
      <c r="J23" s="6" t="inlineStr">
        <is>
          <t>Transform -&gt; Compare</t>
        </is>
      </c>
      <c r="K23" s="5">
        <f>COUNTA(G23:I23)</f>
        <v/>
      </c>
      <c r="L23" s="5">
        <f>IF(K23&gt;1,"Composed","Atomic")</f>
        <v/>
      </c>
      <c r="M23" s="4" t="inlineStr">
        <is>
          <t>Pass</t>
        </is>
      </c>
      <c r="N23" s="6" t="inlineStr"/>
    </row>
    <row r="24">
      <c r="A24" s="2" t="n">
        <v>23</v>
      </c>
      <c r="B24" s="3" t="inlineStr">
        <is>
          <t>C.1</t>
        </is>
      </c>
      <c r="C24" s="3" t="inlineStr">
        <is>
          <t>Convert between standard and scientific notation</t>
        </is>
      </c>
      <c r="D24" s="3" t="inlineStr">
        <is>
          <t>C</t>
        </is>
      </c>
      <c r="E24" s="3" t="inlineStr">
        <is>
          <t>Scientific notation</t>
        </is>
      </c>
      <c r="F24" s="3" t="inlineStr">
        <is>
          <t>Rewrite the same value in another notation</t>
        </is>
      </c>
      <c r="G24" s="3" t="inlineStr">
        <is>
          <t>Transform</t>
        </is>
      </c>
      <c r="H24" s="3" t="inlineStr"/>
      <c r="I24" s="3" t="inlineStr"/>
      <c r="J24" s="3" t="inlineStr">
        <is>
          <t>Transform</t>
        </is>
      </c>
      <c r="K24" s="2">
        <f>COUNTA(G24:I24)</f>
        <v/>
      </c>
      <c r="L24" s="2">
        <f>IF(K24&gt;1,"Composed","Atomic")</f>
        <v/>
      </c>
      <c r="M24" s="4" t="inlineStr">
        <is>
          <t>Pass</t>
        </is>
      </c>
      <c r="N24" s="3" t="inlineStr"/>
    </row>
    <row r="25">
      <c r="A25" s="5" t="n">
        <v>24</v>
      </c>
      <c r="B25" s="6" t="inlineStr">
        <is>
          <t>C.2</t>
        </is>
      </c>
      <c r="C25" s="6" t="inlineStr">
        <is>
          <t>Compare numbers written in scientific notation</t>
        </is>
      </c>
      <c r="D25" s="6" t="inlineStr">
        <is>
          <t>C</t>
        </is>
      </c>
      <c r="E25" s="6" t="inlineStr">
        <is>
          <t>Scientific notation</t>
        </is>
      </c>
      <c r="F25" s="6" t="inlineStr">
        <is>
          <t>Judge relative magnitude</t>
        </is>
      </c>
      <c r="G25" s="6" t="inlineStr">
        <is>
          <t>Compare</t>
        </is>
      </c>
      <c r="H25" s="6" t="inlineStr"/>
      <c r="I25" s="6" t="inlineStr"/>
      <c r="J25" s="6" t="inlineStr">
        <is>
          <t>Compare</t>
        </is>
      </c>
      <c r="K25" s="5">
        <f>COUNTA(G25:I25)</f>
        <v/>
      </c>
      <c r="L25" s="5">
        <f>IF(K25&gt;1,"Composed","Atomic")</f>
        <v/>
      </c>
      <c r="M25" s="4" t="inlineStr">
        <is>
          <t>Pass</t>
        </is>
      </c>
      <c r="N25" s="6" t="inlineStr">
        <is>
          <t>Was Compare alone. Unchanged.</t>
        </is>
      </c>
    </row>
    <row r="26">
      <c r="A26" s="2" t="n">
        <v>25</v>
      </c>
      <c r="B26" s="3" t="inlineStr">
        <is>
          <t>C.3</t>
        </is>
      </c>
      <c r="C26" s="3" t="inlineStr">
        <is>
          <t>Multiply numbers written in scientific notation</t>
        </is>
      </c>
      <c r="D26" s="3" t="inlineStr">
        <is>
          <t>C</t>
        </is>
      </c>
      <c r="E26" s="3" t="inlineStr">
        <is>
          <t>Scientific notation</t>
        </is>
      </c>
      <c r="F26" s="3" t="inlineStr">
        <is>
          <t>Rewrite a product into canonical notation</t>
        </is>
      </c>
      <c r="G26" s="3" t="inlineStr">
        <is>
          <t>Transform</t>
        </is>
      </c>
      <c r="H26" s="3" t="inlineStr"/>
      <c r="I26" s="3" t="inlineStr"/>
      <c r="J26" s="3" t="inlineStr">
        <is>
          <t>Transform</t>
        </is>
      </c>
      <c r="K26" s="2">
        <f>COUNTA(G26:I26)</f>
        <v/>
      </c>
      <c r="L26" s="2">
        <f>IF(K26&gt;1,"Composed","Atomic")</f>
        <v/>
      </c>
      <c r="M26" s="4" t="inlineStr">
        <is>
          <t>Pass</t>
        </is>
      </c>
      <c r="N26" s="3" t="inlineStr"/>
    </row>
    <row r="27">
      <c r="A27" s="5" t="n">
        <v>26</v>
      </c>
      <c r="B27" s="6" t="inlineStr">
        <is>
          <t>C.4</t>
        </is>
      </c>
      <c r="C27" s="6" t="inlineStr">
        <is>
          <t>Divide numbers written in scientific notation</t>
        </is>
      </c>
      <c r="D27" s="6" t="inlineStr">
        <is>
          <t>C</t>
        </is>
      </c>
      <c r="E27" s="6" t="inlineStr">
        <is>
          <t>Scientific notation</t>
        </is>
      </c>
      <c r="F27" s="6" t="inlineStr">
        <is>
          <t>Rewrite a quotient into canonical notation</t>
        </is>
      </c>
      <c r="G27" s="6" t="inlineStr">
        <is>
          <t>Transform</t>
        </is>
      </c>
      <c r="H27" s="6" t="inlineStr"/>
      <c r="I27" s="6" t="inlineStr"/>
      <c r="J27" s="6" t="inlineStr">
        <is>
          <t>Transform</t>
        </is>
      </c>
      <c r="K27" s="5">
        <f>COUNTA(G27:I27)</f>
        <v/>
      </c>
      <c r="L27" s="5">
        <f>IF(K27&gt;1,"Composed","Atomic")</f>
        <v/>
      </c>
      <c r="M27" s="4" t="inlineStr">
        <is>
          <t>Pass</t>
        </is>
      </c>
      <c r="N27" s="6" t="inlineStr"/>
    </row>
    <row r="28">
      <c r="A28" s="2" t="n">
        <v>27</v>
      </c>
      <c r="B28" s="3" t="inlineStr">
        <is>
          <t>D.1</t>
        </is>
      </c>
      <c r="C28" s="3" t="inlineStr">
        <is>
          <t>Simplify radical expressions</t>
        </is>
      </c>
      <c r="D28" s="3" t="inlineStr">
        <is>
          <t>D</t>
        </is>
      </c>
      <c r="E28" s="3" t="inlineStr">
        <is>
          <t>Radical expressions</t>
        </is>
      </c>
      <c r="F28" s="3" t="inlineStr">
        <is>
          <t>Rewrite an equivalent representation</t>
        </is>
      </c>
      <c r="G28" s="3" t="inlineStr">
        <is>
          <t>Transform</t>
        </is>
      </c>
      <c r="H28" s="3" t="inlineStr"/>
      <c r="I28" s="3" t="inlineStr"/>
      <c r="J28" s="3" t="inlineStr">
        <is>
          <t>Transform</t>
        </is>
      </c>
      <c r="K28" s="2">
        <f>COUNTA(G28:I28)</f>
        <v/>
      </c>
      <c r="L28" s="2">
        <f>IF(K28&gt;1,"Composed","Atomic")</f>
        <v/>
      </c>
      <c r="M28" s="4" t="inlineStr">
        <is>
          <t>Pass</t>
        </is>
      </c>
      <c r="N28" s="3" t="inlineStr"/>
    </row>
    <row r="29">
      <c r="A29" s="5" t="n">
        <v>28</v>
      </c>
      <c r="B29" s="6" t="inlineStr">
        <is>
          <t>D.2</t>
        </is>
      </c>
      <c r="C29" s="6" t="inlineStr">
        <is>
          <t>Simplify radical expressions by rationalizing the denominator</t>
        </is>
      </c>
      <c r="D29" s="6" t="inlineStr">
        <is>
          <t>D</t>
        </is>
      </c>
      <c r="E29" s="6" t="inlineStr">
        <is>
          <t>Radical expressions</t>
        </is>
      </c>
      <c r="F29" s="6" t="inlineStr">
        <is>
          <t>Rewrite an equivalent representation</t>
        </is>
      </c>
      <c r="G29" s="6" t="inlineStr">
        <is>
          <t>Transform</t>
        </is>
      </c>
      <c r="H29" s="6" t="inlineStr"/>
      <c r="I29" s="6" t="inlineStr"/>
      <c r="J29" s="6" t="inlineStr">
        <is>
          <t>Transform</t>
        </is>
      </c>
      <c r="K29" s="5">
        <f>COUNTA(G29:I29)</f>
        <v/>
      </c>
      <c r="L29" s="5">
        <f>IF(K29&gt;1,"Composed","Atomic")</f>
        <v/>
      </c>
      <c r="M29" s="4" t="inlineStr">
        <is>
          <t>Pass</t>
        </is>
      </c>
      <c r="N29" s="6" t="inlineStr"/>
    </row>
    <row r="30">
      <c r="A30" s="2" t="n">
        <v>29</v>
      </c>
      <c r="B30" s="3" t="inlineStr">
        <is>
          <t>D.3</t>
        </is>
      </c>
      <c r="C30" s="3" t="inlineStr">
        <is>
          <t>Multiply radical expressions</t>
        </is>
      </c>
      <c r="D30" s="3" t="inlineStr">
        <is>
          <t>D</t>
        </is>
      </c>
      <c r="E30" s="3" t="inlineStr">
        <is>
          <t>Radical expressions</t>
        </is>
      </c>
      <c r="F30" s="3" t="inlineStr">
        <is>
          <t>Rewrite an equivalent representation</t>
        </is>
      </c>
      <c r="G30" s="3" t="inlineStr">
        <is>
          <t>Transform</t>
        </is>
      </c>
      <c r="H30" s="3" t="inlineStr"/>
      <c r="I30" s="3" t="inlineStr"/>
      <c r="J30" s="3" t="inlineStr">
        <is>
          <t>Transform</t>
        </is>
      </c>
      <c r="K30" s="2">
        <f>COUNTA(G30:I30)</f>
        <v/>
      </c>
      <c r="L30" s="2">
        <f>IF(K30&gt;1,"Composed","Atomic")</f>
        <v/>
      </c>
      <c r="M30" s="4" t="inlineStr">
        <is>
          <t>Pass</t>
        </is>
      </c>
      <c r="N30" s="3" t="inlineStr"/>
    </row>
    <row r="31">
      <c r="A31" s="5" t="n">
        <v>30</v>
      </c>
      <c r="B31" s="6" t="inlineStr">
        <is>
          <t>D.4</t>
        </is>
      </c>
      <c r="C31" s="6" t="inlineStr">
        <is>
          <t>Add and subtract radical expressions</t>
        </is>
      </c>
      <c r="D31" s="6" t="inlineStr">
        <is>
          <t>D</t>
        </is>
      </c>
      <c r="E31" s="6" t="inlineStr">
        <is>
          <t>Radical expressions</t>
        </is>
      </c>
      <c r="F31" s="6" t="inlineStr">
        <is>
          <t>Rewrite an equivalent representation</t>
        </is>
      </c>
      <c r="G31" s="6" t="inlineStr">
        <is>
          <t>Transform</t>
        </is>
      </c>
      <c r="H31" s="6" t="inlineStr"/>
      <c r="I31" s="6" t="inlineStr"/>
      <c r="J31" s="6" t="inlineStr">
        <is>
          <t>Transform</t>
        </is>
      </c>
      <c r="K31" s="5">
        <f>COUNTA(G31:I31)</f>
        <v/>
      </c>
      <c r="L31" s="5">
        <f>IF(K31&gt;1,"Composed","Atomic")</f>
        <v/>
      </c>
      <c r="M31" s="4" t="inlineStr">
        <is>
          <t>Pass</t>
        </is>
      </c>
      <c r="N31" s="6" t="inlineStr"/>
    </row>
    <row r="32">
      <c r="A32" s="2" t="n">
        <v>31</v>
      </c>
      <c r="B32" s="3" t="inlineStr">
        <is>
          <t>D.5</t>
        </is>
      </c>
      <c r="C32" s="3" t="inlineStr">
        <is>
          <t>Simplify radical expressions using the distributive property</t>
        </is>
      </c>
      <c r="D32" s="3" t="inlineStr">
        <is>
          <t>D</t>
        </is>
      </c>
      <c r="E32" s="3" t="inlineStr">
        <is>
          <t>Radical expressions</t>
        </is>
      </c>
      <c r="F32" s="3" t="inlineStr">
        <is>
          <t>Rewrite an equivalent representation</t>
        </is>
      </c>
      <c r="G32" s="3" t="inlineStr">
        <is>
          <t>Transform</t>
        </is>
      </c>
      <c r="H32" s="3" t="inlineStr"/>
      <c r="I32" s="3" t="inlineStr"/>
      <c r="J32" s="3" t="inlineStr">
        <is>
          <t>Transform</t>
        </is>
      </c>
      <c r="K32" s="2">
        <f>COUNTA(G32:I32)</f>
        <v/>
      </c>
      <c r="L32" s="2">
        <f>IF(K32&gt;1,"Composed","Atomic")</f>
        <v/>
      </c>
      <c r="M32" s="4" t="inlineStr">
        <is>
          <t>Pass</t>
        </is>
      </c>
      <c r="N32" s="3" t="inlineStr"/>
    </row>
    <row r="33">
      <c r="A33" s="5" t="n">
        <v>32</v>
      </c>
      <c r="B33" s="6" t="inlineStr">
        <is>
          <t>D.6</t>
        </is>
      </c>
      <c r="C33" s="6" t="inlineStr">
        <is>
          <t>Simplify radical expressions: mixed review</t>
        </is>
      </c>
      <c r="D33" s="6" t="inlineStr">
        <is>
          <t>D</t>
        </is>
      </c>
      <c r="E33" s="6" t="inlineStr">
        <is>
          <t>Radical expressions</t>
        </is>
      </c>
      <c r="F33" s="6" t="inlineStr">
        <is>
          <t>Rewrite an equivalent representation</t>
        </is>
      </c>
      <c r="G33" s="6" t="inlineStr">
        <is>
          <t>Transform</t>
        </is>
      </c>
      <c r="H33" s="6" t="inlineStr"/>
      <c r="I33" s="6" t="inlineStr"/>
      <c r="J33" s="6" t="inlineStr">
        <is>
          <t>Transform</t>
        </is>
      </c>
      <c r="K33" s="5">
        <f>COUNTA(G33:I33)</f>
        <v/>
      </c>
      <c r="L33" s="5">
        <f>IF(K33&gt;1,"Composed","Atomic")</f>
        <v/>
      </c>
      <c r="M33" s="4" t="inlineStr">
        <is>
          <t>Pass</t>
        </is>
      </c>
      <c r="N33" s="6" t="inlineStr"/>
    </row>
    <row r="34">
      <c r="A34" s="2" t="n">
        <v>33</v>
      </c>
      <c r="B34" s="3" t="inlineStr">
        <is>
          <t>E.1</t>
        </is>
      </c>
      <c r="C34" s="3" t="inlineStr">
        <is>
          <t>Evaluate rational exponents</t>
        </is>
      </c>
      <c r="D34" s="3" t="inlineStr">
        <is>
          <t>E</t>
        </is>
      </c>
      <c r="E34" s="3" t="inlineStr">
        <is>
          <t>Rational exponents</t>
        </is>
      </c>
      <c r="F34" s="3" t="inlineStr">
        <is>
          <t>Rewrite to canonical numeric form</t>
        </is>
      </c>
      <c r="G34" s="3" t="inlineStr">
        <is>
          <t>Transform</t>
        </is>
      </c>
      <c r="H34" s="3" t="inlineStr"/>
      <c r="I34" s="3" t="inlineStr"/>
      <c r="J34" s="3" t="inlineStr">
        <is>
          <t>Transform</t>
        </is>
      </c>
      <c r="K34" s="2">
        <f>COUNTA(G34:I34)</f>
        <v/>
      </c>
      <c r="L34" s="2">
        <f>IF(K34&gt;1,"Composed","Atomic")</f>
        <v/>
      </c>
      <c r="M34" s="4" t="inlineStr">
        <is>
          <t>Pass</t>
        </is>
      </c>
      <c r="N34" s="3" t="inlineStr"/>
    </row>
    <row r="35">
      <c r="A35" s="5" t="n">
        <v>34</v>
      </c>
      <c r="B35" s="6" t="inlineStr">
        <is>
          <t>E.2</t>
        </is>
      </c>
      <c r="C35" s="6" t="inlineStr">
        <is>
          <t>Multiplication with rational exponents</t>
        </is>
      </c>
      <c r="D35" s="6" t="inlineStr">
        <is>
          <t>E</t>
        </is>
      </c>
      <c r="E35" s="6" t="inlineStr">
        <is>
          <t>Rational exponents</t>
        </is>
      </c>
      <c r="F35" s="6" t="inlineStr">
        <is>
          <t>Rewrite using an equivalent-form rule</t>
        </is>
      </c>
      <c r="G35" s="6" t="inlineStr">
        <is>
          <t>Transform</t>
        </is>
      </c>
      <c r="H35" s="6" t="inlineStr"/>
      <c r="I35" s="6" t="inlineStr"/>
      <c r="J35" s="6" t="inlineStr">
        <is>
          <t>Transform</t>
        </is>
      </c>
      <c r="K35" s="5">
        <f>COUNTA(G35:I35)</f>
        <v/>
      </c>
      <c r="L35" s="5">
        <f>IF(K35&gt;1,"Composed","Atomic")</f>
        <v/>
      </c>
      <c r="M35" s="4" t="inlineStr">
        <is>
          <t>Pass</t>
        </is>
      </c>
      <c r="N35" s="6" t="inlineStr"/>
    </row>
    <row r="36">
      <c r="A36" s="2" t="n">
        <v>35</v>
      </c>
      <c r="B36" s="3" t="inlineStr">
        <is>
          <t>E.3</t>
        </is>
      </c>
      <c r="C36" s="3" t="inlineStr">
        <is>
          <t>Division with rational exponents</t>
        </is>
      </c>
      <c r="D36" s="3" t="inlineStr">
        <is>
          <t>E</t>
        </is>
      </c>
      <c r="E36" s="3" t="inlineStr">
        <is>
          <t>Rational exponents</t>
        </is>
      </c>
      <c r="F36" s="3" t="inlineStr">
        <is>
          <t>Rewrite using an equivalent-form rule</t>
        </is>
      </c>
      <c r="G36" s="3" t="inlineStr">
        <is>
          <t>Transform</t>
        </is>
      </c>
      <c r="H36" s="3" t="inlineStr"/>
      <c r="I36" s="3" t="inlineStr"/>
      <c r="J36" s="3" t="inlineStr">
        <is>
          <t>Transform</t>
        </is>
      </c>
      <c r="K36" s="2">
        <f>COUNTA(G36:I36)</f>
        <v/>
      </c>
      <c r="L36" s="2">
        <f>IF(K36&gt;1,"Composed","Atomic")</f>
        <v/>
      </c>
      <c r="M36" s="4" t="inlineStr">
        <is>
          <t>Pass</t>
        </is>
      </c>
      <c r="N36" s="3" t="inlineStr"/>
    </row>
    <row r="37">
      <c r="A37" s="5" t="n">
        <v>36</v>
      </c>
      <c r="B37" s="6" t="inlineStr">
        <is>
          <t>E.4</t>
        </is>
      </c>
      <c r="C37" s="6" t="inlineStr">
        <is>
          <t>Power rule with rational exponents</t>
        </is>
      </c>
      <c r="D37" s="6" t="inlineStr">
        <is>
          <t>E</t>
        </is>
      </c>
      <c r="E37" s="6" t="inlineStr">
        <is>
          <t>Rational exponents</t>
        </is>
      </c>
      <c r="F37" s="6" t="inlineStr">
        <is>
          <t>Apply a general rewrite rule to any instance</t>
        </is>
      </c>
      <c r="G37" s="6" t="inlineStr">
        <is>
          <t>Transform</t>
        </is>
      </c>
      <c r="H37" s="6" t="inlineStr"/>
      <c r="I37" s="6" t="inlineStr"/>
      <c r="J37" s="6" t="inlineStr">
        <is>
          <t>Transform</t>
        </is>
      </c>
      <c r="K37" s="5">
        <f>COUNTA(G37:I37)</f>
        <v/>
      </c>
      <c r="L37" s="5">
        <f>IF(K37&gt;1,"Composed","Atomic")</f>
        <v/>
      </c>
      <c r="M37" s="4" t="inlineStr">
        <is>
          <t>Pass</t>
        </is>
      </c>
      <c r="N37" s="6" t="inlineStr">
        <is>
          <t>Was Transform+Generalize. Same as B.7.</t>
        </is>
      </c>
    </row>
    <row r="38">
      <c r="A38" s="2" t="n">
        <v>37</v>
      </c>
      <c r="B38" s="3" t="inlineStr">
        <is>
          <t>E.5</t>
        </is>
      </c>
      <c r="C38" s="3" t="inlineStr">
        <is>
          <t>Simplify expressions involving rational exponents I</t>
        </is>
      </c>
      <c r="D38" s="3" t="inlineStr">
        <is>
          <t>E</t>
        </is>
      </c>
      <c r="E38" s="3" t="inlineStr">
        <is>
          <t>Rational exponents</t>
        </is>
      </c>
      <c r="F38" s="3" t="inlineStr">
        <is>
          <t>Rewrite an equivalent representation</t>
        </is>
      </c>
      <c r="G38" s="3" t="inlineStr">
        <is>
          <t>Transform</t>
        </is>
      </c>
      <c r="H38" s="3" t="inlineStr"/>
      <c r="I38" s="3" t="inlineStr"/>
      <c r="J38" s="3" t="inlineStr">
        <is>
          <t>Transform</t>
        </is>
      </c>
      <c r="K38" s="2">
        <f>COUNTA(G38:I38)</f>
        <v/>
      </c>
      <c r="L38" s="2">
        <f>IF(K38&gt;1,"Composed","Atomic")</f>
        <v/>
      </c>
      <c r="M38" s="4" t="inlineStr">
        <is>
          <t>Pass</t>
        </is>
      </c>
      <c r="N38" s="3" t="inlineStr"/>
    </row>
    <row r="39">
      <c r="A39" s="5" t="n">
        <v>38</v>
      </c>
      <c r="B39" s="6" t="inlineStr">
        <is>
          <t>E.6</t>
        </is>
      </c>
      <c r="C39" s="6" t="inlineStr">
        <is>
          <t>Simplify expressions involving rational exponents II</t>
        </is>
      </c>
      <c r="D39" s="6" t="inlineStr">
        <is>
          <t>E</t>
        </is>
      </c>
      <c r="E39" s="6" t="inlineStr">
        <is>
          <t>Rational exponents</t>
        </is>
      </c>
      <c r="F39" s="6" t="inlineStr">
        <is>
          <t>Rewrite an equivalent representation</t>
        </is>
      </c>
      <c r="G39" s="6" t="inlineStr">
        <is>
          <t>Transform</t>
        </is>
      </c>
      <c r="H39" s="6" t="inlineStr"/>
      <c r="I39" s="6" t="inlineStr"/>
      <c r="J39" s="6" t="inlineStr">
        <is>
          <t>Transform</t>
        </is>
      </c>
      <c r="K39" s="5">
        <f>COUNTA(G39:I39)</f>
        <v/>
      </c>
      <c r="L39" s="5">
        <f>IF(K39&gt;1,"Composed","Atomic")</f>
        <v/>
      </c>
      <c r="M39" s="4" t="inlineStr">
        <is>
          <t>Pass</t>
        </is>
      </c>
      <c r="N39" s="6" t="inlineStr"/>
    </row>
    <row r="40">
      <c r="A40" s="2" t="n">
        <v>39</v>
      </c>
      <c r="B40" s="3" t="inlineStr">
        <is>
          <t>F.1</t>
        </is>
      </c>
      <c r="C40" s="3" t="inlineStr">
        <is>
          <t>Coordinate plane review</t>
        </is>
      </c>
      <c r="D40" s="3" t="inlineStr">
        <is>
          <t>F</t>
        </is>
      </c>
      <c r="E40" s="3" t="inlineStr">
        <is>
          <t>Coordinate plane</t>
        </is>
      </c>
      <c r="F40" s="3" t="inlineStr">
        <is>
          <t>Map between points and coordinate notation</t>
        </is>
      </c>
      <c r="G40" s="3" t="inlineStr">
        <is>
          <t>Represent</t>
        </is>
      </c>
      <c r="H40" s="3" t="inlineStr"/>
      <c r="I40" s="3" t="inlineStr"/>
      <c r="J40" s="3" t="inlineStr">
        <is>
          <t>Represent</t>
        </is>
      </c>
      <c r="K40" s="2">
        <f>COUNTA(G40:I40)</f>
        <v/>
      </c>
      <c r="L40" s="2">
        <f>IF(K40&gt;1,"Composed","Atomic")</f>
        <v/>
      </c>
      <c r="M40" s="4" t="inlineStr">
        <is>
          <t>Pass</t>
        </is>
      </c>
      <c r="N40" s="3" t="inlineStr"/>
    </row>
    <row r="41">
      <c r="A41" s="5" t="n">
        <v>40</v>
      </c>
      <c r="B41" s="6" t="inlineStr">
        <is>
          <t>F.2</t>
        </is>
      </c>
      <c r="C41" s="6" t="inlineStr">
        <is>
          <t>Midpoints</t>
        </is>
      </c>
      <c r="D41" s="6" t="inlineStr">
        <is>
          <t>F</t>
        </is>
      </c>
      <c r="E41" s="6" t="inlineStr">
        <is>
          <t>Coordinate plane</t>
        </is>
      </c>
      <c r="F41" s="6" t="inlineStr">
        <is>
          <t>Quantify a position from given magnitudes</t>
        </is>
      </c>
      <c r="G41" s="6" t="inlineStr">
        <is>
          <t>Measure</t>
        </is>
      </c>
      <c r="H41" s="6" t="inlineStr"/>
      <c r="I41" s="6" t="inlineStr"/>
      <c r="J41" s="6" t="inlineStr">
        <is>
          <t>Measure</t>
        </is>
      </c>
      <c r="K41" s="5">
        <f>COUNTA(G41:I41)</f>
        <v/>
      </c>
      <c r="L41" s="5">
        <f>IF(K41&gt;1,"Composed","Atomic")</f>
        <v/>
      </c>
      <c r="M41" s="4" t="inlineStr">
        <is>
          <t>Pass</t>
        </is>
      </c>
      <c r="N41" s="6" t="inlineStr"/>
    </row>
    <row r="42">
      <c r="A42" s="2" t="n">
        <v>41</v>
      </c>
      <c r="B42" s="3" t="inlineStr">
        <is>
          <t>F.3</t>
        </is>
      </c>
      <c r="C42" s="3" t="inlineStr">
        <is>
          <t>Distance between two points</t>
        </is>
      </c>
      <c r="D42" s="3" t="inlineStr">
        <is>
          <t>F</t>
        </is>
      </c>
      <c r="E42" s="3" t="inlineStr">
        <is>
          <t>Coordinate plane</t>
        </is>
      </c>
      <c r="F42" s="3" t="inlineStr">
        <is>
          <t>Quantify a magnitude from a structure</t>
        </is>
      </c>
      <c r="G42" s="3" t="inlineStr">
        <is>
          <t>Measure</t>
        </is>
      </c>
      <c r="H42" s="3" t="inlineStr"/>
      <c r="I42" s="3" t="inlineStr"/>
      <c r="J42" s="3" t="inlineStr">
        <is>
          <t>Measure</t>
        </is>
      </c>
      <c r="K42" s="2">
        <f>COUNTA(G42:I42)</f>
        <v/>
      </c>
      <c r="L42" s="2">
        <f>IF(K42&gt;1,"Composed","Atomic")</f>
        <v/>
      </c>
      <c r="M42" s="4" t="inlineStr">
        <is>
          <t>Pass</t>
        </is>
      </c>
      <c r="N42" s="3" t="inlineStr"/>
    </row>
    <row r="43">
      <c r="A43" s="5" t="n">
        <v>42</v>
      </c>
      <c r="B43" s="6" t="inlineStr">
        <is>
          <t>G.1</t>
        </is>
      </c>
      <c r="C43" s="6" t="inlineStr">
        <is>
          <t>Model and solve equations using algebra tiles</t>
        </is>
      </c>
      <c r="D43" s="6" t="inlineStr">
        <is>
          <t>G</t>
        </is>
      </c>
      <c r="E43" s="6" t="inlineStr">
        <is>
          <t>Solve equations</t>
        </is>
      </c>
      <c r="F43" s="6" t="inlineStr">
        <is>
          <t>Build a concrete model, then satisfy a condition</t>
        </is>
      </c>
      <c r="G43" s="6" t="inlineStr">
        <is>
          <t>Represent</t>
        </is>
      </c>
      <c r="H43" s="6" t="inlineStr">
        <is>
          <t>Constrain</t>
        </is>
      </c>
      <c r="I43" s="6" t="inlineStr"/>
      <c r="J43" s="6" t="inlineStr">
        <is>
          <t>Represent -&gt; Constrain</t>
        </is>
      </c>
      <c r="K43" s="5">
        <f>COUNTA(G43:I43)</f>
        <v/>
      </c>
      <c r="L43" s="5">
        <f>IF(K43&gt;1,"Composed","Atomic")</f>
        <v/>
      </c>
      <c r="M43" s="4" t="inlineStr">
        <is>
          <t>Pass</t>
        </is>
      </c>
      <c r="N43" s="6" t="inlineStr"/>
    </row>
    <row r="44">
      <c r="A44" s="2" t="n">
        <v>43</v>
      </c>
      <c r="B44" s="3" t="inlineStr">
        <is>
          <t>G.2</t>
        </is>
      </c>
      <c r="C44" s="3" t="inlineStr">
        <is>
          <t>Write and solve equations that represent diagrams</t>
        </is>
      </c>
      <c r="D44" s="3" t="inlineStr">
        <is>
          <t>G</t>
        </is>
      </c>
      <c r="E44" s="3" t="inlineStr">
        <is>
          <t>Solve equations</t>
        </is>
      </c>
      <c r="F44" s="3" t="inlineStr">
        <is>
          <t>Translate a diagram, then satisfy a condition</t>
        </is>
      </c>
      <c r="G44" s="3" t="inlineStr">
        <is>
          <t>Represent</t>
        </is>
      </c>
      <c r="H44" s="3" t="inlineStr">
        <is>
          <t>Constrain</t>
        </is>
      </c>
      <c r="I44" s="3" t="inlineStr"/>
      <c r="J44" s="3" t="inlineStr">
        <is>
          <t>Represent -&gt; Constrain</t>
        </is>
      </c>
      <c r="K44" s="2">
        <f>COUNTA(G44:I44)</f>
        <v/>
      </c>
      <c r="L44" s="2">
        <f>IF(K44&gt;1,"Composed","Atomic")</f>
        <v/>
      </c>
      <c r="M44" s="4" t="inlineStr">
        <is>
          <t>Pass</t>
        </is>
      </c>
      <c r="N44" s="3" t="inlineStr"/>
    </row>
    <row r="45">
      <c r="A45" s="5" t="n">
        <v>44</v>
      </c>
      <c r="B45" s="6" t="inlineStr">
        <is>
          <t>G.3</t>
        </is>
      </c>
      <c r="C45" s="6" t="inlineStr">
        <is>
          <t>Solve one-step linear equations</t>
        </is>
      </c>
      <c r="D45" s="6" t="inlineStr">
        <is>
          <t>G</t>
        </is>
      </c>
      <c r="E45" s="6" t="inlineStr">
        <is>
          <t>Solve equations</t>
        </is>
      </c>
      <c r="F45" s="6" t="inlineStr">
        <is>
          <t>Find the value satisfying a condition</t>
        </is>
      </c>
      <c r="G45" s="6" t="inlineStr">
        <is>
          <t>Constrain</t>
        </is>
      </c>
      <c r="H45" s="6" t="inlineStr"/>
      <c r="I45" s="6" t="inlineStr"/>
      <c r="J45" s="6" t="inlineStr">
        <is>
          <t>Constrain</t>
        </is>
      </c>
      <c r="K45" s="5">
        <f>COUNTA(G45:I45)</f>
        <v/>
      </c>
      <c r="L45" s="5">
        <f>IF(K45&gt;1,"Composed","Atomic")</f>
        <v/>
      </c>
      <c r="M45" s="4" t="inlineStr">
        <is>
          <t>Pass</t>
        </is>
      </c>
      <c r="N45" s="6" t="inlineStr"/>
    </row>
    <row r="46">
      <c r="A46" s="2" t="n">
        <v>45</v>
      </c>
      <c r="B46" s="3" t="inlineStr">
        <is>
          <t>G.4</t>
        </is>
      </c>
      <c r="C46" s="3" t="inlineStr">
        <is>
          <t>Solve two-step linear equations</t>
        </is>
      </c>
      <c r="D46" s="3" t="inlineStr">
        <is>
          <t>G</t>
        </is>
      </c>
      <c r="E46" s="3" t="inlineStr">
        <is>
          <t>Solve equations</t>
        </is>
      </c>
      <c r="F46" s="3" t="inlineStr">
        <is>
          <t>Find the value satisfying a condition</t>
        </is>
      </c>
      <c r="G46" s="3" t="inlineStr">
        <is>
          <t>Constrain</t>
        </is>
      </c>
      <c r="H46" s="3" t="inlineStr"/>
      <c r="I46" s="3" t="inlineStr"/>
      <c r="J46" s="3" t="inlineStr">
        <is>
          <t>Constrain</t>
        </is>
      </c>
      <c r="K46" s="2">
        <f>COUNTA(G46:I46)</f>
        <v/>
      </c>
      <c r="L46" s="2">
        <f>IF(K46&gt;1,"Composed","Atomic")</f>
        <v/>
      </c>
      <c r="M46" s="4" t="inlineStr">
        <is>
          <t>Pass</t>
        </is>
      </c>
      <c r="N46" s="3" t="inlineStr"/>
    </row>
    <row r="47">
      <c r="A47" s="5" t="n">
        <v>46</v>
      </c>
      <c r="B47" s="6" t="inlineStr">
        <is>
          <t>G.5</t>
        </is>
      </c>
      <c r="C47" s="6" t="inlineStr">
        <is>
          <t>Solve advanced linear equations</t>
        </is>
      </c>
      <c r="D47" s="6" t="inlineStr">
        <is>
          <t>G</t>
        </is>
      </c>
      <c r="E47" s="6" t="inlineStr">
        <is>
          <t>Solve equations</t>
        </is>
      </c>
      <c r="F47" s="6" t="inlineStr">
        <is>
          <t>Find the value satisfying a condition</t>
        </is>
      </c>
      <c r="G47" s="6" t="inlineStr">
        <is>
          <t>Constrain</t>
        </is>
      </c>
      <c r="H47" s="6" t="inlineStr"/>
      <c r="I47" s="6" t="inlineStr"/>
      <c r="J47" s="6" t="inlineStr">
        <is>
          <t>Constrain</t>
        </is>
      </c>
      <c r="K47" s="5">
        <f>COUNTA(G47:I47)</f>
        <v/>
      </c>
      <c r="L47" s="5">
        <f>IF(K47&gt;1,"Composed","Atomic")</f>
        <v/>
      </c>
      <c r="M47" s="4" t="inlineStr">
        <is>
          <t>Pass</t>
        </is>
      </c>
      <c r="N47" s="6" t="inlineStr"/>
    </row>
    <row r="48">
      <c r="A48" s="2" t="n">
        <v>47</v>
      </c>
      <c r="B48" s="3" t="inlineStr">
        <is>
          <t>G.6</t>
        </is>
      </c>
      <c r="C48" s="3" t="inlineStr">
        <is>
          <t>Solve equations with variables on both sides</t>
        </is>
      </c>
      <c r="D48" s="3" t="inlineStr">
        <is>
          <t>G</t>
        </is>
      </c>
      <c r="E48" s="3" t="inlineStr">
        <is>
          <t>Solve equations</t>
        </is>
      </c>
      <c r="F48" s="3" t="inlineStr">
        <is>
          <t>Find the value satisfying a condition</t>
        </is>
      </c>
      <c r="G48" s="3" t="inlineStr">
        <is>
          <t>Constrain</t>
        </is>
      </c>
      <c r="H48" s="3" t="inlineStr"/>
      <c r="I48" s="3" t="inlineStr"/>
      <c r="J48" s="3" t="inlineStr">
        <is>
          <t>Constrain</t>
        </is>
      </c>
      <c r="K48" s="2">
        <f>COUNTA(G48:I48)</f>
        <v/>
      </c>
      <c r="L48" s="2">
        <f>IF(K48&gt;1,"Composed","Atomic")</f>
        <v/>
      </c>
      <c r="M48" s="4" t="inlineStr">
        <is>
          <t>Pass</t>
        </is>
      </c>
      <c r="N48" s="3" t="inlineStr"/>
    </row>
    <row r="49">
      <c r="A49" s="5" t="n">
        <v>48</v>
      </c>
      <c r="B49" s="6" t="inlineStr">
        <is>
          <t>G.7</t>
        </is>
      </c>
      <c r="C49" s="6" t="inlineStr">
        <is>
          <t>Solve equations: complete the solution</t>
        </is>
      </c>
      <c r="D49" s="6" t="inlineStr">
        <is>
          <t>G</t>
        </is>
      </c>
      <c r="E49" s="6" t="inlineStr">
        <is>
          <t>Solve equations</t>
        </is>
      </c>
      <c r="F49" s="6" t="inlineStr">
        <is>
          <t>Find the value satisfying a condition</t>
        </is>
      </c>
      <c r="G49" s="6" t="inlineStr">
        <is>
          <t>Constrain</t>
        </is>
      </c>
      <c r="H49" s="6" t="inlineStr"/>
      <c r="I49" s="6" t="inlineStr"/>
      <c r="J49" s="6" t="inlineStr">
        <is>
          <t>Constrain</t>
        </is>
      </c>
      <c r="K49" s="5">
        <f>COUNTA(G49:I49)</f>
        <v/>
      </c>
      <c r="L49" s="5">
        <f>IF(K49&gt;1,"Composed","Atomic")</f>
        <v/>
      </c>
      <c r="M49" s="4" t="inlineStr">
        <is>
          <t>Pass</t>
        </is>
      </c>
      <c r="N49" s="6" t="inlineStr"/>
    </row>
    <row r="50">
      <c r="A50" s="2" t="n">
        <v>49</v>
      </c>
      <c r="B50" s="3" t="inlineStr">
        <is>
          <t>G.8</t>
        </is>
      </c>
      <c r="C50" s="3" t="inlineStr">
        <is>
          <t>Find the number of solutions</t>
        </is>
      </c>
      <c r="D50" s="3" t="inlineStr">
        <is>
          <t>G</t>
        </is>
      </c>
      <c r="E50" s="3" t="inlineStr">
        <is>
          <t>Solve equations</t>
        </is>
      </c>
      <c r="F50" s="3" t="inlineStr">
        <is>
          <t>Characterize a constraint's solution set</t>
        </is>
      </c>
      <c r="G50" s="3" t="inlineStr">
        <is>
          <t>Transform</t>
        </is>
      </c>
      <c r="H50" s="3" t="inlineStr">
        <is>
          <t>Identify</t>
        </is>
      </c>
      <c r="I50" s="3" t="inlineStr"/>
      <c r="J50" s="3" t="inlineStr">
        <is>
          <t>Transform -&gt; Identify</t>
        </is>
      </c>
      <c r="K50" s="2">
        <f>COUNTA(G50:I50)</f>
        <v/>
      </c>
      <c r="L50" s="2">
        <f>IF(K50&gt;1,"Composed","Atomic")</f>
        <v/>
      </c>
      <c r="M50" s="4" t="inlineStr">
        <is>
          <t>Pass</t>
        </is>
      </c>
      <c r="N50" s="3" t="inlineStr">
        <is>
          <t>Was Identify+Constrain. Simplify to reveal form, then classify.</t>
        </is>
      </c>
    </row>
    <row r="51">
      <c r="A51" s="5" t="n">
        <v>50</v>
      </c>
      <c r="B51" s="6" t="inlineStr">
        <is>
          <t>G.9</t>
        </is>
      </c>
      <c r="C51" s="6" t="inlineStr">
        <is>
          <t>Create equations with no solutions or infinitely many solutions</t>
        </is>
      </c>
      <c r="D51" s="6" t="inlineStr">
        <is>
          <t>G</t>
        </is>
      </c>
      <c r="E51" s="6" t="inlineStr">
        <is>
          <t>Solve equations</t>
        </is>
      </c>
      <c r="F51" s="6" t="inlineStr">
        <is>
          <t>Construct a constraint with a target property</t>
        </is>
      </c>
      <c r="G51" s="6" t="inlineStr">
        <is>
          <t>Represent</t>
        </is>
      </c>
      <c r="H51" s="6" t="inlineStr"/>
      <c r="I51" s="6" t="inlineStr"/>
      <c r="J51" s="6" t="inlineStr">
        <is>
          <t>Represent</t>
        </is>
      </c>
      <c r="K51" s="5">
        <f>COUNTA(G51:I51)</f>
        <v/>
      </c>
      <c r="L51" s="5">
        <f>IF(K51&gt;1,"Composed","Atomic")</f>
        <v/>
      </c>
      <c r="M51" s="4" t="inlineStr">
        <is>
          <t>Pass</t>
        </is>
      </c>
      <c r="N51" s="6" t="inlineStr">
        <is>
          <t>Was Generalize+Constrain. Applies a known criterion to build an object; Represent.</t>
        </is>
      </c>
    </row>
    <row r="52">
      <c r="A52" s="2" t="n">
        <v>51</v>
      </c>
      <c r="B52" s="3" t="inlineStr">
        <is>
          <t>G.10</t>
        </is>
      </c>
      <c r="C52" s="3" t="inlineStr">
        <is>
          <t>Solve linear equations: word problems</t>
        </is>
      </c>
      <c r="D52" s="3" t="inlineStr">
        <is>
          <t>G</t>
        </is>
      </c>
      <c r="E52" s="3" t="inlineStr">
        <is>
          <t>Solve equations</t>
        </is>
      </c>
      <c r="F52" s="3" t="inlineStr">
        <is>
          <t>Translate a situation, then satisfy a condition</t>
        </is>
      </c>
      <c r="G52" s="3" t="inlineStr">
        <is>
          <t>Represent</t>
        </is>
      </c>
      <c r="H52" s="3" t="inlineStr">
        <is>
          <t>Constrain</t>
        </is>
      </c>
      <c r="I52" s="3" t="inlineStr"/>
      <c r="J52" s="3" t="inlineStr">
        <is>
          <t>Represent -&gt; Constrain</t>
        </is>
      </c>
      <c r="K52" s="2">
        <f>COUNTA(G52:I52)</f>
        <v/>
      </c>
      <c r="L52" s="2">
        <f>IF(K52&gt;1,"Composed","Atomic")</f>
        <v/>
      </c>
      <c r="M52" s="4" t="inlineStr">
        <is>
          <t>Pass</t>
        </is>
      </c>
      <c r="N52" s="3" t="inlineStr"/>
    </row>
    <row r="53">
      <c r="A53" s="5" t="n">
        <v>52</v>
      </c>
      <c r="B53" s="6" t="inlineStr">
        <is>
          <t>G.11</t>
        </is>
      </c>
      <c r="C53" s="6" t="inlineStr">
        <is>
          <t>Solve linear equations: mixed review</t>
        </is>
      </c>
      <c r="D53" s="6" t="inlineStr">
        <is>
          <t>G</t>
        </is>
      </c>
      <c r="E53" s="6" t="inlineStr">
        <is>
          <t>Solve equations</t>
        </is>
      </c>
      <c r="F53" s="6" t="inlineStr">
        <is>
          <t>Find the value satisfying a condition</t>
        </is>
      </c>
      <c r="G53" s="6" t="inlineStr">
        <is>
          <t>Constrain</t>
        </is>
      </c>
      <c r="H53" s="6" t="inlineStr"/>
      <c r="I53" s="6" t="inlineStr"/>
      <c r="J53" s="6" t="inlineStr">
        <is>
          <t>Constrain</t>
        </is>
      </c>
      <c r="K53" s="5">
        <f>COUNTA(G53:I53)</f>
        <v/>
      </c>
      <c r="L53" s="5">
        <f>IF(K53&gt;1,"Composed","Atomic")</f>
        <v/>
      </c>
      <c r="M53" s="4" t="inlineStr">
        <is>
          <t>Pass</t>
        </is>
      </c>
      <c r="N53" s="6" t="inlineStr"/>
    </row>
    <row r="54">
      <c r="A54" s="2" t="n">
        <v>53</v>
      </c>
      <c r="B54" s="3" t="inlineStr">
        <is>
          <t>H.1</t>
        </is>
      </c>
      <c r="C54" s="3" t="inlineStr">
        <is>
          <t>Graph inequalities</t>
        </is>
      </c>
      <c r="D54" s="3" t="inlineStr">
        <is>
          <t>H</t>
        </is>
      </c>
      <c r="E54" s="3" t="inlineStr">
        <is>
          <t>Single-variable inequalities</t>
        </is>
      </c>
      <c r="F54" s="3" t="inlineStr">
        <is>
          <t>Move a condition into a spatial representation</t>
        </is>
      </c>
      <c r="G54" s="3" t="inlineStr">
        <is>
          <t>Represent</t>
        </is>
      </c>
      <c r="H54" s="3" t="inlineStr"/>
      <c r="I54" s="3" t="inlineStr"/>
      <c r="J54" s="3" t="inlineStr">
        <is>
          <t>Represent</t>
        </is>
      </c>
      <c r="K54" s="2">
        <f>COUNTA(G54:I54)</f>
        <v/>
      </c>
      <c r="L54" s="2">
        <f>IF(K54&gt;1,"Composed","Atomic")</f>
        <v/>
      </c>
      <c r="M54" s="4" t="inlineStr">
        <is>
          <t>Pass</t>
        </is>
      </c>
      <c r="N54" s="3" t="inlineStr"/>
    </row>
    <row r="55">
      <c r="A55" s="5" t="n">
        <v>54</v>
      </c>
      <c r="B55" s="6" t="inlineStr">
        <is>
          <t>H.2</t>
        </is>
      </c>
      <c r="C55" s="6" t="inlineStr">
        <is>
          <t>Write inequalities from graphs</t>
        </is>
      </c>
      <c r="D55" s="6" t="inlineStr">
        <is>
          <t>H</t>
        </is>
      </c>
      <c r="E55" s="6" t="inlineStr">
        <is>
          <t>Single-variable inequalities</t>
        </is>
      </c>
      <c r="F55" s="6" t="inlineStr">
        <is>
          <t>Move a spatial representation into symbols</t>
        </is>
      </c>
      <c r="G55" s="6" t="inlineStr">
        <is>
          <t>Represent</t>
        </is>
      </c>
      <c r="H55" s="6" t="inlineStr"/>
      <c r="I55" s="6" t="inlineStr"/>
      <c r="J55" s="6" t="inlineStr">
        <is>
          <t>Represent</t>
        </is>
      </c>
      <c r="K55" s="5">
        <f>COUNTA(G55:I55)</f>
        <v/>
      </c>
      <c r="L55" s="5">
        <f>IF(K55&gt;1,"Composed","Atomic")</f>
        <v/>
      </c>
      <c r="M55" s="4" t="inlineStr">
        <is>
          <t>Pass</t>
        </is>
      </c>
      <c r="N55" s="6" t="inlineStr"/>
    </row>
    <row r="56">
      <c r="A56" s="2" t="n">
        <v>55</v>
      </c>
      <c r="B56" s="3" t="inlineStr">
        <is>
          <t>H.3</t>
        </is>
      </c>
      <c r="C56" s="3" t="inlineStr">
        <is>
          <t>Identify solutions to inequalities</t>
        </is>
      </c>
      <c r="D56" s="3" t="inlineStr">
        <is>
          <t>H</t>
        </is>
      </c>
      <c r="E56" s="3" t="inlineStr">
        <is>
          <t>Single-variable inequalities</t>
        </is>
      </c>
      <c r="F56" s="3" t="inlineStr">
        <is>
          <t>Test a candidate against a condition</t>
        </is>
      </c>
      <c r="G56" s="3" t="inlineStr">
        <is>
          <t>Verify</t>
        </is>
      </c>
      <c r="H56" s="3" t="inlineStr"/>
      <c r="I56" s="3" t="inlineStr"/>
      <c r="J56" s="3" t="inlineStr">
        <is>
          <t>Verify</t>
        </is>
      </c>
      <c r="K56" s="2">
        <f>COUNTA(G56:I56)</f>
        <v/>
      </c>
      <c r="L56" s="2">
        <f>IF(K56&gt;1,"Composed","Atomic")</f>
        <v/>
      </c>
      <c r="M56" s="4" t="inlineStr">
        <is>
          <t>Pass</t>
        </is>
      </c>
      <c r="N56" s="3" t="inlineStr">
        <is>
          <t>Was Verify. Unchanged.</t>
        </is>
      </c>
    </row>
    <row r="57">
      <c r="A57" s="5" t="n">
        <v>56</v>
      </c>
      <c r="B57" s="6" t="inlineStr">
        <is>
          <t>H.4</t>
        </is>
      </c>
      <c r="C57" s="6" t="inlineStr">
        <is>
          <t>Solve one-step linear inequalities: addition and subtraction</t>
        </is>
      </c>
      <c r="D57" s="6" t="inlineStr">
        <is>
          <t>H</t>
        </is>
      </c>
      <c r="E57" s="6" t="inlineStr">
        <is>
          <t>Single-variable inequalities</t>
        </is>
      </c>
      <c r="F57" s="6" t="inlineStr">
        <is>
          <t>Find values satisfying a condition</t>
        </is>
      </c>
      <c r="G57" s="6" t="inlineStr">
        <is>
          <t>Constrain</t>
        </is>
      </c>
      <c r="H57" s="6" t="inlineStr"/>
      <c r="I57" s="6" t="inlineStr"/>
      <c r="J57" s="6" t="inlineStr">
        <is>
          <t>Constrain</t>
        </is>
      </c>
      <c r="K57" s="5">
        <f>COUNTA(G57:I57)</f>
        <v/>
      </c>
      <c r="L57" s="5">
        <f>IF(K57&gt;1,"Composed","Atomic")</f>
        <v/>
      </c>
      <c r="M57" s="4" t="inlineStr">
        <is>
          <t>Pass</t>
        </is>
      </c>
      <c r="N57" s="6" t="inlineStr"/>
    </row>
    <row r="58">
      <c r="A58" s="2" t="n">
        <v>57</v>
      </c>
      <c r="B58" s="3" t="inlineStr">
        <is>
          <t>H.5</t>
        </is>
      </c>
      <c r="C58" s="3" t="inlineStr">
        <is>
          <t>Solve one-step linear inequalities: multiplication and division</t>
        </is>
      </c>
      <c r="D58" s="3" t="inlineStr">
        <is>
          <t>H</t>
        </is>
      </c>
      <c r="E58" s="3" t="inlineStr">
        <is>
          <t>Single-variable inequalities</t>
        </is>
      </c>
      <c r="F58" s="3" t="inlineStr">
        <is>
          <t>Find values satisfying a condition</t>
        </is>
      </c>
      <c r="G58" s="3" t="inlineStr">
        <is>
          <t>Constrain</t>
        </is>
      </c>
      <c r="H58" s="3" t="inlineStr"/>
      <c r="I58" s="3" t="inlineStr"/>
      <c r="J58" s="3" t="inlineStr">
        <is>
          <t>Constrain</t>
        </is>
      </c>
      <c r="K58" s="2">
        <f>COUNTA(G58:I58)</f>
        <v/>
      </c>
      <c r="L58" s="2">
        <f>IF(K58&gt;1,"Composed","Atomic")</f>
        <v/>
      </c>
      <c r="M58" s="4" t="inlineStr">
        <is>
          <t>Pass</t>
        </is>
      </c>
      <c r="N58" s="3" t="inlineStr"/>
    </row>
    <row r="59">
      <c r="A59" s="5" t="n">
        <v>58</v>
      </c>
      <c r="B59" s="6" t="inlineStr">
        <is>
          <t>H.6</t>
        </is>
      </c>
      <c r="C59" s="6" t="inlineStr">
        <is>
          <t>Solve one-step linear inequalities</t>
        </is>
      </c>
      <c r="D59" s="6" t="inlineStr">
        <is>
          <t>H</t>
        </is>
      </c>
      <c r="E59" s="6" t="inlineStr">
        <is>
          <t>Single-variable inequalities</t>
        </is>
      </c>
      <c r="F59" s="6" t="inlineStr">
        <is>
          <t>Find values satisfying a condition</t>
        </is>
      </c>
      <c r="G59" s="6" t="inlineStr">
        <is>
          <t>Constrain</t>
        </is>
      </c>
      <c r="H59" s="6" t="inlineStr"/>
      <c r="I59" s="6" t="inlineStr"/>
      <c r="J59" s="6" t="inlineStr">
        <is>
          <t>Constrain</t>
        </is>
      </c>
      <c r="K59" s="5">
        <f>COUNTA(G59:I59)</f>
        <v/>
      </c>
      <c r="L59" s="5">
        <f>IF(K59&gt;1,"Composed","Atomic")</f>
        <v/>
      </c>
      <c r="M59" s="4" t="inlineStr">
        <is>
          <t>Pass</t>
        </is>
      </c>
      <c r="N59" s="6" t="inlineStr"/>
    </row>
    <row r="60">
      <c r="A60" s="2" t="n">
        <v>59</v>
      </c>
      <c r="B60" s="3" t="inlineStr">
        <is>
          <t>H.7</t>
        </is>
      </c>
      <c r="C60" s="3" t="inlineStr">
        <is>
          <t>Graph solutions to one-step linear inequalities</t>
        </is>
      </c>
      <c r="D60" s="3" t="inlineStr">
        <is>
          <t>H</t>
        </is>
      </c>
      <c r="E60" s="3" t="inlineStr">
        <is>
          <t>Single-variable inequalities</t>
        </is>
      </c>
      <c r="F60" s="3" t="inlineStr">
        <is>
          <t>Satisfy a condition, then represent the set</t>
        </is>
      </c>
      <c r="G60" s="3" t="inlineStr">
        <is>
          <t>Constrain</t>
        </is>
      </c>
      <c r="H60" s="3" t="inlineStr">
        <is>
          <t>Represent</t>
        </is>
      </c>
      <c r="I60" s="3" t="inlineStr"/>
      <c r="J60" s="3" t="inlineStr">
        <is>
          <t>Constrain -&gt; Represent</t>
        </is>
      </c>
      <c r="K60" s="2">
        <f>COUNTA(G60:I60)</f>
        <v/>
      </c>
      <c r="L60" s="2">
        <f>IF(K60&gt;1,"Composed","Atomic")</f>
        <v/>
      </c>
      <c r="M60" s="4" t="inlineStr">
        <is>
          <t>Pass</t>
        </is>
      </c>
      <c r="N60" s="3" t="inlineStr"/>
    </row>
    <row r="61">
      <c r="A61" s="5" t="n">
        <v>60</v>
      </c>
      <c r="B61" s="6" t="inlineStr">
        <is>
          <t>H.8</t>
        </is>
      </c>
      <c r="C61" s="6" t="inlineStr">
        <is>
          <t>Solve two-step linear inequalities</t>
        </is>
      </c>
      <c r="D61" s="6" t="inlineStr">
        <is>
          <t>H</t>
        </is>
      </c>
      <c r="E61" s="6" t="inlineStr">
        <is>
          <t>Single-variable inequalities</t>
        </is>
      </c>
      <c r="F61" s="6" t="inlineStr">
        <is>
          <t>Find values satisfying a condition</t>
        </is>
      </c>
      <c r="G61" s="6" t="inlineStr">
        <is>
          <t>Constrain</t>
        </is>
      </c>
      <c r="H61" s="6" t="inlineStr"/>
      <c r="I61" s="6" t="inlineStr"/>
      <c r="J61" s="6" t="inlineStr">
        <is>
          <t>Constrain</t>
        </is>
      </c>
      <c r="K61" s="5">
        <f>COUNTA(G61:I61)</f>
        <v/>
      </c>
      <c r="L61" s="5">
        <f>IF(K61&gt;1,"Composed","Atomic")</f>
        <v/>
      </c>
      <c r="M61" s="4" t="inlineStr">
        <is>
          <t>Pass</t>
        </is>
      </c>
      <c r="N61" s="6" t="inlineStr"/>
    </row>
    <row r="62">
      <c r="A62" s="2" t="n">
        <v>61</v>
      </c>
      <c r="B62" s="3" t="inlineStr">
        <is>
          <t>H.9</t>
        </is>
      </c>
      <c r="C62" s="3" t="inlineStr">
        <is>
          <t>Graph solutions to two-step linear inequalities</t>
        </is>
      </c>
      <c r="D62" s="3" t="inlineStr">
        <is>
          <t>H</t>
        </is>
      </c>
      <c r="E62" s="3" t="inlineStr">
        <is>
          <t>Single-variable inequalities</t>
        </is>
      </c>
      <c r="F62" s="3" t="inlineStr">
        <is>
          <t>Satisfy a condition, then represent the set</t>
        </is>
      </c>
      <c r="G62" s="3" t="inlineStr">
        <is>
          <t>Constrain</t>
        </is>
      </c>
      <c r="H62" s="3" t="inlineStr">
        <is>
          <t>Represent</t>
        </is>
      </c>
      <c r="I62" s="3" t="inlineStr"/>
      <c r="J62" s="3" t="inlineStr">
        <is>
          <t>Constrain -&gt; Represent</t>
        </is>
      </c>
      <c r="K62" s="2">
        <f>COUNTA(G62:I62)</f>
        <v/>
      </c>
      <c r="L62" s="2">
        <f>IF(K62&gt;1,"Composed","Atomic")</f>
        <v/>
      </c>
      <c r="M62" s="4" t="inlineStr">
        <is>
          <t>Pass</t>
        </is>
      </c>
      <c r="N62" s="3" t="inlineStr"/>
    </row>
    <row r="63">
      <c r="A63" s="5" t="n">
        <v>62</v>
      </c>
      <c r="B63" s="6" t="inlineStr">
        <is>
          <t>H.10</t>
        </is>
      </c>
      <c r="C63" s="6" t="inlineStr">
        <is>
          <t>Solve multi-step linear inequalities</t>
        </is>
      </c>
      <c r="D63" s="6" t="inlineStr">
        <is>
          <t>H</t>
        </is>
      </c>
      <c r="E63" s="6" t="inlineStr">
        <is>
          <t>Single-variable inequalities</t>
        </is>
      </c>
      <c r="F63" s="6" t="inlineStr">
        <is>
          <t>Find values satisfying a condition</t>
        </is>
      </c>
      <c r="G63" s="6" t="inlineStr">
        <is>
          <t>Constrain</t>
        </is>
      </c>
      <c r="H63" s="6" t="inlineStr"/>
      <c r="I63" s="6" t="inlineStr"/>
      <c r="J63" s="6" t="inlineStr">
        <is>
          <t>Constrain</t>
        </is>
      </c>
      <c r="K63" s="5">
        <f>COUNTA(G63:I63)</f>
        <v/>
      </c>
      <c r="L63" s="5">
        <f>IF(K63&gt;1,"Composed","Atomic")</f>
        <v/>
      </c>
      <c r="M63" s="4" t="inlineStr">
        <is>
          <t>Pass</t>
        </is>
      </c>
      <c r="N63" s="6" t="inlineStr"/>
    </row>
    <row r="64">
      <c r="A64" s="2" t="n">
        <v>63</v>
      </c>
      <c r="B64" s="3" t="inlineStr">
        <is>
          <t>H.11</t>
        </is>
      </c>
      <c r="C64" s="3" t="inlineStr">
        <is>
          <t>Graph solutions to multi-step linear inequalities</t>
        </is>
      </c>
      <c r="D64" s="3" t="inlineStr">
        <is>
          <t>H</t>
        </is>
      </c>
      <c r="E64" s="3" t="inlineStr">
        <is>
          <t>Single-variable inequalities</t>
        </is>
      </c>
      <c r="F64" s="3" t="inlineStr">
        <is>
          <t>Satisfy a condition, then represent the set</t>
        </is>
      </c>
      <c r="G64" s="3" t="inlineStr">
        <is>
          <t>Constrain</t>
        </is>
      </c>
      <c r="H64" s="3" t="inlineStr">
        <is>
          <t>Represent</t>
        </is>
      </c>
      <c r="I64" s="3" t="inlineStr"/>
      <c r="J64" s="3" t="inlineStr">
        <is>
          <t>Constrain -&gt; Represent</t>
        </is>
      </c>
      <c r="K64" s="2">
        <f>COUNTA(G64:I64)</f>
        <v/>
      </c>
      <c r="L64" s="2">
        <f>IF(K64&gt;1,"Composed","Atomic")</f>
        <v/>
      </c>
      <c r="M64" s="4" t="inlineStr">
        <is>
          <t>Pass</t>
        </is>
      </c>
      <c r="N64" s="3" t="inlineStr"/>
    </row>
    <row r="65">
      <c r="A65" s="5" t="n">
        <v>64</v>
      </c>
      <c r="B65" s="6" t="inlineStr">
        <is>
          <t>H.12</t>
        </is>
      </c>
      <c r="C65" s="6" t="inlineStr">
        <is>
          <t>Graph compound inequalities</t>
        </is>
      </c>
      <c r="D65" s="6" t="inlineStr">
        <is>
          <t>H</t>
        </is>
      </c>
      <c r="E65" s="6" t="inlineStr">
        <is>
          <t>Single-variable inequalities</t>
        </is>
      </c>
      <c r="F65" s="6" t="inlineStr">
        <is>
          <t>Move a joined condition into a spatial representation</t>
        </is>
      </c>
      <c r="G65" s="6" t="inlineStr">
        <is>
          <t>Represent</t>
        </is>
      </c>
      <c r="H65" s="6" t="inlineStr"/>
      <c r="I65" s="6" t="inlineStr"/>
      <c r="J65" s="6" t="inlineStr">
        <is>
          <t>Represent</t>
        </is>
      </c>
      <c r="K65" s="5">
        <f>COUNTA(G65:I65)</f>
        <v/>
      </c>
      <c r="L65" s="5">
        <f>IF(K65&gt;1,"Composed","Atomic")</f>
        <v/>
      </c>
      <c r="M65" s="4" t="inlineStr">
        <is>
          <t>Pass</t>
        </is>
      </c>
      <c r="N65" s="6" t="inlineStr"/>
    </row>
    <row r="66">
      <c r="A66" s="2" t="n">
        <v>65</v>
      </c>
      <c r="B66" s="3" t="inlineStr">
        <is>
          <t>H.13</t>
        </is>
      </c>
      <c r="C66" s="3" t="inlineStr">
        <is>
          <t>Write compound inequalities from graphs</t>
        </is>
      </c>
      <c r="D66" s="3" t="inlineStr">
        <is>
          <t>H</t>
        </is>
      </c>
      <c r="E66" s="3" t="inlineStr">
        <is>
          <t>Single-variable inequalities</t>
        </is>
      </c>
      <c r="F66" s="3" t="inlineStr">
        <is>
          <t>Move a spatial representation into symbols</t>
        </is>
      </c>
      <c r="G66" s="3" t="inlineStr">
        <is>
          <t>Represent</t>
        </is>
      </c>
      <c r="H66" s="3" t="inlineStr"/>
      <c r="I66" s="3" t="inlineStr"/>
      <c r="J66" s="3" t="inlineStr">
        <is>
          <t>Represent</t>
        </is>
      </c>
      <c r="K66" s="2">
        <f>COUNTA(G66:I66)</f>
        <v/>
      </c>
      <c r="L66" s="2">
        <f>IF(K66&gt;1,"Composed","Atomic")</f>
        <v/>
      </c>
      <c r="M66" s="4" t="inlineStr">
        <is>
          <t>Pass</t>
        </is>
      </c>
      <c r="N66" s="3" t="inlineStr"/>
    </row>
    <row r="67">
      <c r="A67" s="5" t="n">
        <v>66</v>
      </c>
      <c r="B67" s="6" t="inlineStr">
        <is>
          <t>H.14</t>
        </is>
      </c>
      <c r="C67" s="6" t="inlineStr">
        <is>
          <t>Solve compound inequalities</t>
        </is>
      </c>
      <c r="D67" s="6" t="inlineStr">
        <is>
          <t>H</t>
        </is>
      </c>
      <c r="E67" s="6" t="inlineStr">
        <is>
          <t>Single-variable inequalities</t>
        </is>
      </c>
      <c r="F67" s="6" t="inlineStr">
        <is>
          <t>Find values satisfying several joined conditions</t>
        </is>
      </c>
      <c r="G67" s="6" t="inlineStr">
        <is>
          <t>Constrain</t>
        </is>
      </c>
      <c r="H67" s="6" t="inlineStr"/>
      <c r="I67" s="6" t="inlineStr"/>
      <c r="J67" s="6" t="inlineStr">
        <is>
          <t>Constrain</t>
        </is>
      </c>
      <c r="K67" s="5">
        <f>COUNTA(G67:I67)</f>
        <v/>
      </c>
      <c r="L67" s="5">
        <f>IF(K67&gt;1,"Composed","Atomic")</f>
        <v/>
      </c>
      <c r="M67" s="4" t="inlineStr">
        <is>
          <t>Pass</t>
        </is>
      </c>
      <c r="N67" s="6" t="inlineStr"/>
    </row>
    <row r="68">
      <c r="A68" s="2" t="n">
        <v>67</v>
      </c>
      <c r="B68" s="3" t="inlineStr">
        <is>
          <t>H.15</t>
        </is>
      </c>
      <c r="C68" s="3" t="inlineStr">
        <is>
          <t>Graph solutions to compound inequalities</t>
        </is>
      </c>
      <c r="D68" s="3" t="inlineStr">
        <is>
          <t>H</t>
        </is>
      </c>
      <c r="E68" s="3" t="inlineStr">
        <is>
          <t>Single-variable inequalities</t>
        </is>
      </c>
      <c r="F68" s="3" t="inlineStr">
        <is>
          <t>Satisfy conditions, then represent the set</t>
        </is>
      </c>
      <c r="G68" s="3" t="inlineStr">
        <is>
          <t>Constrain</t>
        </is>
      </c>
      <c r="H68" s="3" t="inlineStr">
        <is>
          <t>Represent</t>
        </is>
      </c>
      <c r="I68" s="3" t="inlineStr"/>
      <c r="J68" s="3" t="inlineStr">
        <is>
          <t>Constrain -&gt; Represent</t>
        </is>
      </c>
      <c r="K68" s="2">
        <f>COUNTA(G68:I68)</f>
        <v/>
      </c>
      <c r="L68" s="2">
        <f>IF(K68&gt;1,"Composed","Atomic")</f>
        <v/>
      </c>
      <c r="M68" s="4" t="inlineStr">
        <is>
          <t>Pass</t>
        </is>
      </c>
      <c r="N68" s="3" t="inlineStr"/>
    </row>
    <row r="69">
      <c r="A69" s="5" t="n">
        <v>68</v>
      </c>
      <c r="B69" s="6" t="inlineStr">
        <is>
          <t>I.1</t>
        </is>
      </c>
      <c r="C69" s="6" t="inlineStr">
        <is>
          <t>Interpret bar graphs, line graphs and histograms</t>
        </is>
      </c>
      <c r="D69" s="6" t="inlineStr">
        <is>
          <t>I</t>
        </is>
      </c>
      <c r="E69" s="6" t="inlineStr">
        <is>
          <t>Data and graphs</t>
        </is>
      </c>
      <c r="F69" s="6" t="inlineStr">
        <is>
          <t>Read quantities out of a display</t>
        </is>
      </c>
      <c r="G69" s="6" t="inlineStr">
        <is>
          <t>Represent</t>
        </is>
      </c>
      <c r="H69" s="6" t="inlineStr">
        <is>
          <t>Measure</t>
        </is>
      </c>
      <c r="I69" s="6" t="inlineStr"/>
      <c r="J69" s="6" t="inlineStr">
        <is>
          <t>Represent -&gt; Measure</t>
        </is>
      </c>
      <c r="K69" s="5">
        <f>COUNTA(G69:I69)</f>
        <v/>
      </c>
      <c r="L69" s="5">
        <f>IF(K69&gt;1,"Composed","Atomic")</f>
        <v/>
      </c>
      <c r="M69" s="4" t="inlineStr">
        <is>
          <t>Pass</t>
        </is>
      </c>
      <c r="N69" s="6" t="inlineStr"/>
    </row>
    <row r="70">
      <c r="A70" s="2" t="n">
        <v>69</v>
      </c>
      <c r="B70" s="3" t="inlineStr">
        <is>
          <t>I.2</t>
        </is>
      </c>
      <c r="C70" s="3" t="inlineStr">
        <is>
          <t>Create bar graphs, line graphs and histograms</t>
        </is>
      </c>
      <c r="D70" s="3" t="inlineStr">
        <is>
          <t>I</t>
        </is>
      </c>
      <c r="E70" s="3" t="inlineStr">
        <is>
          <t>Data and graphs</t>
        </is>
      </c>
      <c r="F70" s="3" t="inlineStr">
        <is>
          <t>Move data into a display</t>
        </is>
      </c>
      <c r="G70" s="3" t="inlineStr">
        <is>
          <t>Represent</t>
        </is>
      </c>
      <c r="H70" s="3" t="inlineStr"/>
      <c r="I70" s="3" t="inlineStr"/>
      <c r="J70" s="3" t="inlineStr">
        <is>
          <t>Represent</t>
        </is>
      </c>
      <c r="K70" s="2">
        <f>COUNTA(G70:I70)</f>
        <v/>
      </c>
      <c r="L70" s="2">
        <f>IF(K70&gt;1,"Composed","Atomic")</f>
        <v/>
      </c>
      <c r="M70" s="4" t="inlineStr">
        <is>
          <t>Pass</t>
        </is>
      </c>
      <c r="N70" s="3" t="inlineStr"/>
    </row>
    <row r="71">
      <c r="A71" s="5" t="n">
        <v>70</v>
      </c>
      <c r="B71" s="6" t="inlineStr">
        <is>
          <t>I.3</t>
        </is>
      </c>
      <c r="C71" s="6" t="inlineStr">
        <is>
          <t>Interpret circle graphs</t>
        </is>
      </c>
      <c r="D71" s="6" t="inlineStr">
        <is>
          <t>I</t>
        </is>
      </c>
      <c r="E71" s="6" t="inlineStr">
        <is>
          <t>Data and graphs</t>
        </is>
      </c>
      <c r="F71" s="6" t="inlineStr">
        <is>
          <t>Read quantities out of a display</t>
        </is>
      </c>
      <c r="G71" s="6" t="inlineStr">
        <is>
          <t>Represent</t>
        </is>
      </c>
      <c r="H71" s="6" t="inlineStr">
        <is>
          <t>Measure</t>
        </is>
      </c>
      <c r="I71" s="6" t="inlineStr"/>
      <c r="J71" s="6" t="inlineStr">
        <is>
          <t>Represent -&gt; Measure</t>
        </is>
      </c>
      <c r="K71" s="5">
        <f>COUNTA(G71:I71)</f>
        <v/>
      </c>
      <c r="L71" s="5">
        <f>IF(K71&gt;1,"Composed","Atomic")</f>
        <v/>
      </c>
      <c r="M71" s="4" t="inlineStr">
        <is>
          <t>Pass</t>
        </is>
      </c>
      <c r="N71" s="6" t="inlineStr"/>
    </row>
    <row r="72">
      <c r="A72" s="2" t="n">
        <v>71</v>
      </c>
      <c r="B72" s="3" t="inlineStr">
        <is>
          <t>I.4</t>
        </is>
      </c>
      <c r="C72" s="3" t="inlineStr">
        <is>
          <t>Interpret stem-and-leaf plots</t>
        </is>
      </c>
      <c r="D72" s="3" t="inlineStr">
        <is>
          <t>I</t>
        </is>
      </c>
      <c r="E72" s="3" t="inlineStr">
        <is>
          <t>Data and graphs</t>
        </is>
      </c>
      <c r="F72" s="3" t="inlineStr">
        <is>
          <t>Read quantities out of a display</t>
        </is>
      </c>
      <c r="G72" s="3" t="inlineStr">
        <is>
          <t>Represent</t>
        </is>
      </c>
      <c r="H72" s="3" t="inlineStr">
        <is>
          <t>Measure</t>
        </is>
      </c>
      <c r="I72" s="3" t="inlineStr"/>
      <c r="J72" s="3" t="inlineStr">
        <is>
          <t>Represent -&gt; Measure</t>
        </is>
      </c>
      <c r="K72" s="2">
        <f>COUNTA(G72:I72)</f>
        <v/>
      </c>
      <c r="L72" s="2">
        <f>IF(K72&gt;1,"Composed","Atomic")</f>
        <v/>
      </c>
      <c r="M72" s="4" t="inlineStr">
        <is>
          <t>Pass</t>
        </is>
      </c>
      <c r="N72" s="3" t="inlineStr"/>
    </row>
    <row r="73">
      <c r="A73" s="5" t="n">
        <v>72</v>
      </c>
      <c r="B73" s="6" t="inlineStr">
        <is>
          <t>I.5</t>
        </is>
      </c>
      <c r="C73" s="6" t="inlineStr">
        <is>
          <t>Box plots</t>
        </is>
      </c>
      <c r="D73" s="6" t="inlineStr">
        <is>
          <t>I</t>
        </is>
      </c>
      <c r="E73" s="6" t="inlineStr">
        <is>
          <t>Data and graphs</t>
        </is>
      </c>
      <c r="F73" s="6" t="inlineStr">
        <is>
          <t>Move a distribution into a summary display</t>
        </is>
      </c>
      <c r="G73" s="6" t="inlineStr">
        <is>
          <t>Measure</t>
        </is>
      </c>
      <c r="H73" s="6" t="inlineStr">
        <is>
          <t>Represent</t>
        </is>
      </c>
      <c r="I73" s="6" t="inlineStr"/>
      <c r="J73" s="6" t="inlineStr">
        <is>
          <t>Measure -&gt; Represent</t>
        </is>
      </c>
      <c r="K73" s="5">
        <f>COUNTA(G73:I73)</f>
        <v/>
      </c>
      <c r="L73" s="5">
        <f>IF(K73&gt;1,"Composed","Atomic")</f>
        <v/>
      </c>
      <c r="M73" s="4" t="inlineStr">
        <is>
          <t>Pass</t>
        </is>
      </c>
      <c r="N73" s="6" t="inlineStr">
        <is>
          <t>Was Represent+Measure. Reordered: compute the five-number summary, then display it.</t>
        </is>
      </c>
    </row>
    <row r="74">
      <c r="A74" s="2" t="n">
        <v>73</v>
      </c>
      <c r="B74" s="3" t="inlineStr">
        <is>
          <t>I.6</t>
        </is>
      </c>
      <c r="C74" s="3" t="inlineStr">
        <is>
          <t>Interpret a scatter plot</t>
        </is>
      </c>
      <c r="D74" s="3" t="inlineStr">
        <is>
          <t>I</t>
        </is>
      </c>
      <c r="E74" s="3" t="inlineStr">
        <is>
          <t>Data and graphs</t>
        </is>
      </c>
      <c r="F74" s="3" t="inlineStr">
        <is>
          <t>Read a trend out of a display</t>
        </is>
      </c>
      <c r="G74" s="3" t="inlineStr">
        <is>
          <t>Represent</t>
        </is>
      </c>
      <c r="H74" s="3" t="inlineStr">
        <is>
          <t>Generalize</t>
        </is>
      </c>
      <c r="I74" s="3" t="inlineStr"/>
      <c r="J74" s="3" t="inlineStr">
        <is>
          <t>Represent -&gt; Generalize</t>
        </is>
      </c>
      <c r="K74" s="2">
        <f>COUNTA(G74:I74)</f>
        <v/>
      </c>
      <c r="L74" s="2">
        <f>IF(K74&gt;1,"Composed","Atomic")</f>
        <v/>
      </c>
      <c r="M74" s="4" t="inlineStr">
        <is>
          <t>Pass</t>
        </is>
      </c>
      <c r="N74" s="3" t="inlineStr">
        <is>
          <t>Was Represent+Generalize, kept - trend inference is genuine.</t>
        </is>
      </c>
    </row>
    <row r="75">
      <c r="A75" s="5" t="n">
        <v>74</v>
      </c>
      <c r="B75" s="6" t="inlineStr">
        <is>
          <t>I.7</t>
        </is>
      </c>
      <c r="C75" s="6" t="inlineStr">
        <is>
          <t>Scatter plots: line of best fit</t>
        </is>
      </c>
      <c r="D75" s="6" t="inlineStr">
        <is>
          <t>I</t>
        </is>
      </c>
      <c r="E75" s="6" t="inlineStr">
        <is>
          <t>Data and graphs</t>
        </is>
      </c>
      <c r="F75" s="6" t="inlineStr">
        <is>
          <t>Infer a general rule from many cases</t>
        </is>
      </c>
      <c r="G75" s="6" t="inlineStr">
        <is>
          <t>Generalize</t>
        </is>
      </c>
      <c r="H75" s="6" t="inlineStr">
        <is>
          <t>Represent</t>
        </is>
      </c>
      <c r="I75" s="6" t="inlineStr"/>
      <c r="J75" s="6" t="inlineStr">
        <is>
          <t>Generalize -&gt; Represent</t>
        </is>
      </c>
      <c r="K75" s="5">
        <f>COUNTA(G75:I75)</f>
        <v/>
      </c>
      <c r="L75" s="5">
        <f>IF(K75&gt;1,"Composed","Atomic")</f>
        <v/>
      </c>
      <c r="M75" s="4" t="inlineStr">
        <is>
          <t>Pass</t>
        </is>
      </c>
      <c r="N75" s="6" t="inlineStr">
        <is>
          <t>Was Generalize+Represent, kept.</t>
        </is>
      </c>
    </row>
    <row r="76">
      <c r="A76" s="2" t="n">
        <v>75</v>
      </c>
      <c r="B76" s="3" t="inlineStr">
        <is>
          <t>J.1</t>
        </is>
      </c>
      <c r="C76" s="3" t="inlineStr">
        <is>
          <t>Relations: convert between tables, graphs, mappings and lists of points</t>
        </is>
      </c>
      <c r="D76" s="3" t="inlineStr">
        <is>
          <t>J</t>
        </is>
      </c>
      <c r="E76" s="3" t="inlineStr">
        <is>
          <t>Relations and functions</t>
        </is>
      </c>
      <c r="F76" s="3" t="inlineStr">
        <is>
          <t>Move the same relation across representations</t>
        </is>
      </c>
      <c r="G76" s="3" t="inlineStr">
        <is>
          <t>Represent</t>
        </is>
      </c>
      <c r="H76" s="3" t="inlineStr"/>
      <c r="I76" s="3" t="inlineStr"/>
      <c r="J76" s="3" t="inlineStr">
        <is>
          <t>Represent</t>
        </is>
      </c>
      <c r="K76" s="2">
        <f>COUNTA(G76:I76)</f>
        <v/>
      </c>
      <c r="L76" s="2">
        <f>IF(K76&gt;1,"Composed","Atomic")</f>
        <v/>
      </c>
      <c r="M76" s="4" t="inlineStr">
        <is>
          <t>Pass</t>
        </is>
      </c>
      <c r="N76" s="3" t="inlineStr"/>
    </row>
    <row r="77">
      <c r="A77" s="5" t="n">
        <v>76</v>
      </c>
      <c r="B77" s="6" t="inlineStr">
        <is>
          <t>J.2</t>
        </is>
      </c>
      <c r="C77" s="6" t="inlineStr">
        <is>
          <t>Domain and range of relations</t>
        </is>
      </c>
      <c r="D77" s="6" t="inlineStr">
        <is>
          <t>J</t>
        </is>
      </c>
      <c r="E77" s="6" t="inlineStr">
        <is>
          <t>Relations and functions</t>
        </is>
      </c>
      <c r="F77" s="6" t="inlineStr">
        <is>
          <t>Extract the defining input/output sets</t>
        </is>
      </c>
      <c r="G77" s="6" t="inlineStr">
        <is>
          <t>Identify</t>
        </is>
      </c>
      <c r="H77" s="6" t="inlineStr"/>
      <c r="I77" s="6" t="inlineStr"/>
      <c r="J77" s="6" t="inlineStr">
        <is>
          <t>Identify</t>
        </is>
      </c>
      <c r="K77" s="5">
        <f>COUNTA(G77:I77)</f>
        <v/>
      </c>
      <c r="L77" s="5">
        <f>IF(K77&gt;1,"Composed","Atomic")</f>
        <v/>
      </c>
      <c r="M77" s="4" t="inlineStr">
        <is>
          <t>Pass</t>
        </is>
      </c>
      <c r="N77" s="6" t="inlineStr"/>
    </row>
    <row r="78">
      <c r="A78" s="2" t="n">
        <v>77</v>
      </c>
      <c r="B78" s="3" t="inlineStr">
        <is>
          <t>J.3</t>
        </is>
      </c>
      <c r="C78" s="3" t="inlineStr">
        <is>
          <t>Identify independent and dependent variables</t>
        </is>
      </c>
      <c r="D78" s="3" t="inlineStr">
        <is>
          <t>J</t>
        </is>
      </c>
      <c r="E78" s="3" t="inlineStr">
        <is>
          <t>Relations and functions</t>
        </is>
      </c>
      <c r="F78" s="3" t="inlineStr">
        <is>
          <t>Assign roles within a structure</t>
        </is>
      </c>
      <c r="G78" s="3" t="inlineStr">
        <is>
          <t>Identify</t>
        </is>
      </c>
      <c r="H78" s="3" t="inlineStr"/>
      <c r="I78" s="3" t="inlineStr"/>
      <c r="J78" s="3" t="inlineStr">
        <is>
          <t>Identify</t>
        </is>
      </c>
      <c r="K78" s="2">
        <f>COUNTA(G78:I78)</f>
        <v/>
      </c>
      <c r="L78" s="2">
        <f>IF(K78&gt;1,"Composed","Atomic")</f>
        <v/>
      </c>
      <c r="M78" s="4" t="inlineStr">
        <is>
          <t>Pass</t>
        </is>
      </c>
      <c r="N78" s="3" t="inlineStr"/>
    </row>
    <row r="79">
      <c r="A79" s="5" t="n">
        <v>78</v>
      </c>
      <c r="B79" s="6" t="inlineStr">
        <is>
          <t>J.4</t>
        </is>
      </c>
      <c r="C79" s="6" t="inlineStr">
        <is>
          <t>Identify functions</t>
        </is>
      </c>
      <c r="D79" s="6" t="inlineStr">
        <is>
          <t>J</t>
        </is>
      </c>
      <c r="E79" s="6" t="inlineStr">
        <is>
          <t>Relations and functions</t>
        </is>
      </c>
      <c r="F79" s="6" t="inlineStr">
        <is>
          <t>Assign an object to a category by its properties</t>
        </is>
      </c>
      <c r="G79" s="6" t="inlineStr">
        <is>
          <t>Identify</t>
        </is>
      </c>
      <c r="H79" s="6" t="inlineStr"/>
      <c r="I79" s="6" t="inlineStr"/>
      <c r="J79" s="6" t="inlineStr">
        <is>
          <t>Identify</t>
        </is>
      </c>
      <c r="K79" s="5">
        <f>COUNTA(G79:I79)</f>
        <v/>
      </c>
      <c r="L79" s="5">
        <f>IF(K79&gt;1,"Composed","Atomic")</f>
        <v/>
      </c>
      <c r="M79" s="4" t="inlineStr">
        <is>
          <t>Pass</t>
        </is>
      </c>
      <c r="N79" s="6" t="inlineStr"/>
    </row>
    <row r="80">
      <c r="A80" s="2" t="n">
        <v>79</v>
      </c>
      <c r="B80" s="3" t="inlineStr">
        <is>
          <t>J.5</t>
        </is>
      </c>
      <c r="C80" s="3" t="inlineStr">
        <is>
          <t>Identify functions: vertical line test</t>
        </is>
      </c>
      <c r="D80" s="3" t="inlineStr">
        <is>
          <t>J</t>
        </is>
      </c>
      <c r="E80" s="3" t="inlineStr">
        <is>
          <t>Relations and functions</t>
        </is>
      </c>
      <c r="F80" s="3" t="inlineStr">
        <is>
          <t>Apply a test to decide category membership</t>
        </is>
      </c>
      <c r="G80" s="3" t="inlineStr">
        <is>
          <t>Identify</t>
        </is>
      </c>
      <c r="H80" s="3" t="inlineStr"/>
      <c r="I80" s="3" t="inlineStr"/>
      <c r="J80" s="3" t="inlineStr">
        <is>
          <t>Identify</t>
        </is>
      </c>
      <c r="K80" s="2">
        <f>COUNTA(G80:I80)</f>
        <v/>
      </c>
      <c r="L80" s="2">
        <f>IF(K80&gt;1,"Composed","Atomic")</f>
        <v/>
      </c>
      <c r="M80" s="4" t="inlineStr">
        <is>
          <t>Pass</t>
        </is>
      </c>
      <c r="N80" s="3" t="inlineStr">
        <is>
          <t>Was Identify+Verify. The vertical line test IS Identify's decision rule.</t>
        </is>
      </c>
    </row>
    <row r="81">
      <c r="A81" s="5" t="n">
        <v>80</v>
      </c>
      <c r="B81" s="6" t="inlineStr">
        <is>
          <t>J.6</t>
        </is>
      </c>
      <c r="C81" s="6" t="inlineStr">
        <is>
          <t>Find values using function graphs</t>
        </is>
      </c>
      <c r="D81" s="6" t="inlineStr">
        <is>
          <t>J</t>
        </is>
      </c>
      <c r="E81" s="6" t="inlineStr">
        <is>
          <t>Relations and functions</t>
        </is>
      </c>
      <c r="F81" s="6" t="inlineStr">
        <is>
          <t>Read a value out of a representation</t>
        </is>
      </c>
      <c r="G81" s="6" t="inlineStr">
        <is>
          <t>Represent</t>
        </is>
      </c>
      <c r="H81" s="6" t="inlineStr"/>
      <c r="I81" s="6" t="inlineStr"/>
      <c r="J81" s="6" t="inlineStr">
        <is>
          <t>Represent</t>
        </is>
      </c>
      <c r="K81" s="5">
        <f>COUNTA(G81:I81)</f>
        <v/>
      </c>
      <c r="L81" s="5">
        <f>IF(K81&gt;1,"Composed","Atomic")</f>
        <v/>
      </c>
      <c r="M81" s="4" t="inlineStr">
        <is>
          <t>Pass</t>
        </is>
      </c>
      <c r="N81" s="6" t="inlineStr"/>
    </row>
    <row r="82">
      <c r="A82" s="2" t="n">
        <v>81</v>
      </c>
      <c r="B82" s="3" t="inlineStr">
        <is>
          <t>J.7</t>
        </is>
      </c>
      <c r="C82" s="3" t="inlineStr">
        <is>
          <t>Evaluate a function</t>
        </is>
      </c>
      <c r="D82" s="3" t="inlineStr">
        <is>
          <t>J</t>
        </is>
      </c>
      <c r="E82" s="3" t="inlineStr">
        <is>
          <t>Relations and functions</t>
        </is>
      </c>
      <c r="F82" s="3" t="inlineStr">
        <is>
          <t>Rewrite with a value substituted</t>
        </is>
      </c>
      <c r="G82" s="3" t="inlineStr">
        <is>
          <t>Transform</t>
        </is>
      </c>
      <c r="H82" s="3" t="inlineStr"/>
      <c r="I82" s="3" t="inlineStr"/>
      <c r="J82" s="3" t="inlineStr">
        <is>
          <t>Transform</t>
        </is>
      </c>
      <c r="K82" s="2">
        <f>COUNTA(G82:I82)</f>
        <v/>
      </c>
      <c r="L82" s="2">
        <f>IF(K82&gt;1,"Composed","Atomic")</f>
        <v/>
      </c>
      <c r="M82" s="4" t="inlineStr">
        <is>
          <t>Pass</t>
        </is>
      </c>
      <c r="N82" s="3" t="inlineStr"/>
    </row>
    <row r="83">
      <c r="A83" s="5" t="n">
        <v>82</v>
      </c>
      <c r="B83" s="6" t="inlineStr">
        <is>
          <t>J.8</t>
        </is>
      </c>
      <c r="C83" s="6" t="inlineStr">
        <is>
          <t>Evaluate a function: plug in an expression</t>
        </is>
      </c>
      <c r="D83" s="6" t="inlineStr">
        <is>
          <t>J</t>
        </is>
      </c>
      <c r="E83" s="6" t="inlineStr">
        <is>
          <t>Relations and functions</t>
        </is>
      </c>
      <c r="F83" s="6" t="inlineStr">
        <is>
          <t>Rewrite with an expression substituted</t>
        </is>
      </c>
      <c r="G83" s="6" t="inlineStr">
        <is>
          <t>Transform</t>
        </is>
      </c>
      <c r="H83" s="6" t="inlineStr"/>
      <c r="I83" s="6" t="inlineStr"/>
      <c r="J83" s="6" t="inlineStr">
        <is>
          <t>Transform</t>
        </is>
      </c>
      <c r="K83" s="5">
        <f>COUNTA(G83:I83)</f>
        <v/>
      </c>
      <c r="L83" s="5">
        <f>IF(K83&gt;1,"Composed","Atomic")</f>
        <v/>
      </c>
      <c r="M83" s="4" t="inlineStr">
        <is>
          <t>Pass</t>
        </is>
      </c>
      <c r="N83" s="6" t="inlineStr"/>
    </row>
    <row r="84">
      <c r="A84" s="2" t="n">
        <v>83</v>
      </c>
      <c r="B84" s="3" t="inlineStr">
        <is>
          <t>J.9</t>
        </is>
      </c>
      <c r="C84" s="3" t="inlineStr">
        <is>
          <t>Complete a function table from a graph</t>
        </is>
      </c>
      <c r="D84" s="3" t="inlineStr">
        <is>
          <t>J</t>
        </is>
      </c>
      <c r="E84" s="3" t="inlineStr">
        <is>
          <t>Relations and functions</t>
        </is>
      </c>
      <c r="F84" s="3" t="inlineStr">
        <is>
          <t>Move a relation between representations</t>
        </is>
      </c>
      <c r="G84" s="3" t="inlineStr">
        <is>
          <t>Represent</t>
        </is>
      </c>
      <c r="H84" s="3" t="inlineStr"/>
      <c r="I84" s="3" t="inlineStr"/>
      <c r="J84" s="3" t="inlineStr">
        <is>
          <t>Represent</t>
        </is>
      </c>
      <c r="K84" s="2">
        <f>COUNTA(G84:I84)</f>
        <v/>
      </c>
      <c r="L84" s="2">
        <f>IF(K84&gt;1,"Composed","Atomic")</f>
        <v/>
      </c>
      <c r="M84" s="4" t="inlineStr">
        <is>
          <t>Pass</t>
        </is>
      </c>
      <c r="N84" s="3" t="inlineStr"/>
    </row>
    <row r="85">
      <c r="A85" s="5" t="n">
        <v>84</v>
      </c>
      <c r="B85" s="6" t="inlineStr">
        <is>
          <t>J.10</t>
        </is>
      </c>
      <c r="C85" s="6" t="inlineStr">
        <is>
          <t>Complete a function table from an equation</t>
        </is>
      </c>
      <c r="D85" s="6" t="inlineStr">
        <is>
          <t>J</t>
        </is>
      </c>
      <c r="E85" s="6" t="inlineStr">
        <is>
          <t>Relations and functions</t>
        </is>
      </c>
      <c r="F85" s="6" t="inlineStr">
        <is>
          <t>Move a relation between representations</t>
        </is>
      </c>
      <c r="G85" s="6" t="inlineStr">
        <is>
          <t>Transform</t>
        </is>
      </c>
      <c r="H85" s="6" t="inlineStr">
        <is>
          <t>Represent</t>
        </is>
      </c>
      <c r="I85" s="6" t="inlineStr"/>
      <c r="J85" s="6" t="inlineStr">
        <is>
          <t>Transform -&gt; Represent</t>
        </is>
      </c>
      <c r="K85" s="5">
        <f>COUNTA(G85:I85)</f>
        <v/>
      </c>
      <c r="L85" s="5">
        <f>IF(K85&gt;1,"Composed","Atomic")</f>
        <v/>
      </c>
      <c r="M85" s="4" t="inlineStr">
        <is>
          <t>Pass</t>
        </is>
      </c>
      <c r="N85" s="6" t="inlineStr">
        <is>
          <t>Was Represent+Transform. Reordered: compute, then tabulate.</t>
        </is>
      </c>
    </row>
    <row r="86">
      <c r="A86" s="2" t="n">
        <v>85</v>
      </c>
      <c r="B86" s="3" t="inlineStr">
        <is>
          <t>J.11</t>
        </is>
      </c>
      <c r="C86" s="3" t="inlineStr">
        <is>
          <t>Interpret the graph of a function: word problems</t>
        </is>
      </c>
      <c r="D86" s="3" t="inlineStr">
        <is>
          <t>J</t>
        </is>
      </c>
      <c r="E86" s="3" t="inlineStr">
        <is>
          <t>Relations and functions</t>
        </is>
      </c>
      <c r="F86" s="3" t="inlineStr">
        <is>
          <t>Read meaning out of a representation</t>
        </is>
      </c>
      <c r="G86" s="3" t="inlineStr">
        <is>
          <t>Represent</t>
        </is>
      </c>
      <c r="H86" s="3" t="inlineStr"/>
      <c r="I86" s="3" t="inlineStr"/>
      <c r="J86" s="3" t="inlineStr">
        <is>
          <t>Represent</t>
        </is>
      </c>
      <c r="K86" s="2">
        <f>COUNTA(G86:I86)</f>
        <v/>
      </c>
      <c r="L86" s="2">
        <f>IF(K86&gt;1,"Composed","Atomic")</f>
        <v/>
      </c>
      <c r="M86" s="4" t="inlineStr">
        <is>
          <t>Pass</t>
        </is>
      </c>
      <c r="N86" s="3" t="inlineStr"/>
    </row>
    <row r="87">
      <c r="A87" s="5" t="n">
        <v>86</v>
      </c>
      <c r="B87" s="6" t="inlineStr">
        <is>
          <t>K.1</t>
        </is>
      </c>
      <c r="C87" s="6" t="inlineStr">
        <is>
          <t>Identify proportional relationships</t>
        </is>
      </c>
      <c r="D87" s="6" t="inlineStr">
        <is>
          <t>K</t>
        </is>
      </c>
      <c r="E87" s="6" t="inlineStr">
        <is>
          <t>Direct and inverse variation</t>
        </is>
      </c>
      <c r="F87" s="6" t="inlineStr">
        <is>
          <t>Assign an object to a category by its properties</t>
        </is>
      </c>
      <c r="G87" s="6" t="inlineStr">
        <is>
          <t>Identify</t>
        </is>
      </c>
      <c r="H87" s="6" t="inlineStr"/>
      <c r="I87" s="6" t="inlineStr"/>
      <c r="J87" s="6" t="inlineStr">
        <is>
          <t>Identify</t>
        </is>
      </c>
      <c r="K87" s="5">
        <f>COUNTA(G87:I87)</f>
        <v/>
      </c>
      <c r="L87" s="5">
        <f>IF(K87&gt;1,"Composed","Atomic")</f>
        <v/>
      </c>
      <c r="M87" s="4" t="inlineStr">
        <is>
          <t>Pass</t>
        </is>
      </c>
      <c r="N87" s="6" t="inlineStr"/>
    </row>
    <row r="88">
      <c r="A88" s="2" t="n">
        <v>87</v>
      </c>
      <c r="B88" s="3" t="inlineStr">
        <is>
          <t>K.2</t>
        </is>
      </c>
      <c r="C88" s="3" t="inlineStr">
        <is>
          <t>Find the constant of variation</t>
        </is>
      </c>
      <c r="D88" s="3" t="inlineStr">
        <is>
          <t>K</t>
        </is>
      </c>
      <c r="E88" s="3" t="inlineStr">
        <is>
          <t>Direct and inverse variation</t>
        </is>
      </c>
      <c r="F88" s="3" t="inlineStr">
        <is>
          <t>Extract the invariant parameter from cases</t>
        </is>
      </c>
      <c r="G88" s="3" t="inlineStr">
        <is>
          <t>Measure</t>
        </is>
      </c>
      <c r="H88" s="3" t="inlineStr"/>
      <c r="I88" s="3" t="inlineStr"/>
      <c r="J88" s="3" t="inlineStr">
        <is>
          <t>Measure</t>
        </is>
      </c>
      <c r="K88" s="2">
        <f>COUNTA(G88:I88)</f>
        <v/>
      </c>
      <c r="L88" s="2">
        <f>IF(K88&gt;1,"Composed","Atomic")</f>
        <v/>
      </c>
      <c r="M88" s="4" t="inlineStr">
        <is>
          <t>Pass</t>
        </is>
      </c>
      <c r="N88" s="3" t="inlineStr">
        <is>
          <t>Was Generalize+Measure. k = y/x is a formula; this is Measure.</t>
        </is>
      </c>
    </row>
    <row r="89">
      <c r="A89" s="5" t="n">
        <v>88</v>
      </c>
      <c r="B89" s="6" t="inlineStr">
        <is>
          <t>K.3</t>
        </is>
      </c>
      <c r="C89" s="6" t="inlineStr">
        <is>
          <t>Graph a proportional relationship</t>
        </is>
      </c>
      <c r="D89" s="6" t="inlineStr">
        <is>
          <t>K</t>
        </is>
      </c>
      <c r="E89" s="6" t="inlineStr">
        <is>
          <t>Direct and inverse variation</t>
        </is>
      </c>
      <c r="F89" s="6" t="inlineStr">
        <is>
          <t>Move a relation into a spatial representation</t>
        </is>
      </c>
      <c r="G89" s="6" t="inlineStr">
        <is>
          <t>Represent</t>
        </is>
      </c>
      <c r="H89" s="6" t="inlineStr"/>
      <c r="I89" s="6" t="inlineStr"/>
      <c r="J89" s="6" t="inlineStr">
        <is>
          <t>Represent</t>
        </is>
      </c>
      <c r="K89" s="5">
        <f>COUNTA(G89:I89)</f>
        <v/>
      </c>
      <c r="L89" s="5">
        <f>IF(K89&gt;1,"Composed","Atomic")</f>
        <v/>
      </c>
      <c r="M89" s="4" t="inlineStr">
        <is>
          <t>Pass</t>
        </is>
      </c>
      <c r="N89" s="6" t="inlineStr"/>
    </row>
    <row r="90">
      <c r="A90" s="2" t="n">
        <v>89</v>
      </c>
      <c r="B90" s="3" t="inlineStr">
        <is>
          <t>K.4</t>
        </is>
      </c>
      <c r="C90" s="3" t="inlineStr">
        <is>
          <t>Write direct variation equations</t>
        </is>
      </c>
      <c r="D90" s="3" t="inlineStr">
        <is>
          <t>K</t>
        </is>
      </c>
      <c r="E90" s="3" t="inlineStr">
        <is>
          <t>Direct and inverse variation</t>
        </is>
      </c>
      <c r="F90" s="3" t="inlineStr">
        <is>
          <t>Infer a general rule from given cases</t>
        </is>
      </c>
      <c r="G90" s="3" t="inlineStr">
        <is>
          <t>Measure</t>
        </is>
      </c>
      <c r="H90" s="3" t="inlineStr">
        <is>
          <t>Represent</t>
        </is>
      </c>
      <c r="I90" s="3" t="inlineStr"/>
      <c r="J90" s="3" t="inlineStr">
        <is>
          <t>Measure -&gt; Represent</t>
        </is>
      </c>
      <c r="K90" s="2">
        <f>COUNTA(G90:I90)</f>
        <v/>
      </c>
      <c r="L90" s="2">
        <f>IF(K90&gt;1,"Composed","Atomic")</f>
        <v/>
      </c>
      <c r="M90" s="4" t="inlineStr">
        <is>
          <t>Pass</t>
        </is>
      </c>
      <c r="N90" s="3" t="inlineStr">
        <is>
          <t>Was Generalize+Represent. Template y=kx is given; find k then write it.</t>
        </is>
      </c>
    </row>
    <row r="91">
      <c r="A91" s="5" t="n">
        <v>90</v>
      </c>
      <c r="B91" s="6" t="inlineStr">
        <is>
          <t>K.5</t>
        </is>
      </c>
      <c r="C91" s="6" t="inlineStr">
        <is>
          <t>Write and solve direct variation equations</t>
        </is>
      </c>
      <c r="D91" s="6" t="inlineStr">
        <is>
          <t>K</t>
        </is>
      </c>
      <c r="E91" s="6" t="inlineStr">
        <is>
          <t>Direct and inverse variation</t>
        </is>
      </c>
      <c r="F91" s="6" t="inlineStr">
        <is>
          <t>Infer a rule, then satisfy a condition</t>
        </is>
      </c>
      <c r="G91" s="6" t="inlineStr">
        <is>
          <t>Measure</t>
        </is>
      </c>
      <c r="H91" s="6" t="inlineStr">
        <is>
          <t>Represent</t>
        </is>
      </c>
      <c r="I91" s="6" t="inlineStr">
        <is>
          <t>Constrain</t>
        </is>
      </c>
      <c r="J91" s="6" t="inlineStr">
        <is>
          <t>Measure -&gt; Represent -&gt; Constrain</t>
        </is>
      </c>
      <c r="K91" s="5">
        <f>COUNTA(G91:I91)</f>
        <v/>
      </c>
      <c r="L91" s="5">
        <f>IF(K91&gt;1,"Composed","Atomic")</f>
        <v/>
      </c>
      <c r="M91" s="4" t="inlineStr">
        <is>
          <t>Pass</t>
        </is>
      </c>
      <c r="N91" s="6" t="inlineStr">
        <is>
          <t>Was Generalize+Constrain. Expanded to Measure -&gt; Represent -&gt; Constrain.</t>
        </is>
      </c>
    </row>
    <row r="92">
      <c r="A92" s="2" t="n">
        <v>91</v>
      </c>
      <c r="B92" s="3" t="inlineStr">
        <is>
          <t>K.6</t>
        </is>
      </c>
      <c r="C92" s="3" t="inlineStr">
        <is>
          <t>Identify direct variation and inverse variation</t>
        </is>
      </c>
      <c r="D92" s="3" t="inlineStr">
        <is>
          <t>K</t>
        </is>
      </c>
      <c r="E92" s="3" t="inlineStr">
        <is>
          <t>Direct and inverse variation</t>
        </is>
      </c>
      <c r="F92" s="3" t="inlineStr">
        <is>
          <t>Distinguish two categories by their properties</t>
        </is>
      </c>
      <c r="G92" s="3" t="inlineStr">
        <is>
          <t>Identify</t>
        </is>
      </c>
      <c r="H92" s="3" t="inlineStr"/>
      <c r="I92" s="3" t="inlineStr"/>
      <c r="J92" s="3" t="inlineStr">
        <is>
          <t>Identify</t>
        </is>
      </c>
      <c r="K92" s="2">
        <f>COUNTA(G92:I92)</f>
        <v/>
      </c>
      <c r="L92" s="2">
        <f>IF(K92&gt;1,"Composed","Atomic")</f>
        <v/>
      </c>
      <c r="M92" s="4" t="inlineStr">
        <is>
          <t>Pass</t>
        </is>
      </c>
      <c r="N92" s="3" t="inlineStr">
        <is>
          <t>Was Identify+Compare. Same as Z.10.</t>
        </is>
      </c>
    </row>
    <row r="93">
      <c r="A93" s="5" t="n">
        <v>92</v>
      </c>
      <c r="B93" s="6" t="inlineStr">
        <is>
          <t>K.7</t>
        </is>
      </c>
      <c r="C93" s="6" t="inlineStr">
        <is>
          <t>Write inverse variation equations</t>
        </is>
      </c>
      <c r="D93" s="6" t="inlineStr">
        <is>
          <t>K</t>
        </is>
      </c>
      <c r="E93" s="6" t="inlineStr">
        <is>
          <t>Direct and inverse variation</t>
        </is>
      </c>
      <c r="F93" s="6" t="inlineStr">
        <is>
          <t>Infer a general rule from given cases</t>
        </is>
      </c>
      <c r="G93" s="6" t="inlineStr">
        <is>
          <t>Measure</t>
        </is>
      </c>
      <c r="H93" s="6" t="inlineStr">
        <is>
          <t>Represent</t>
        </is>
      </c>
      <c r="I93" s="6" t="inlineStr"/>
      <c r="J93" s="6" t="inlineStr">
        <is>
          <t>Measure -&gt; Represent</t>
        </is>
      </c>
      <c r="K93" s="5">
        <f>COUNTA(G93:I93)</f>
        <v/>
      </c>
      <c r="L93" s="5">
        <f>IF(K93&gt;1,"Composed","Atomic")</f>
        <v/>
      </c>
      <c r="M93" s="4" t="inlineStr">
        <is>
          <t>Pass</t>
        </is>
      </c>
      <c r="N93" s="6" t="inlineStr">
        <is>
          <t>Was Generalize+Represent. Same as K.4.</t>
        </is>
      </c>
    </row>
    <row r="94">
      <c r="A94" s="2" t="n">
        <v>93</v>
      </c>
      <c r="B94" s="3" t="inlineStr">
        <is>
          <t>K.8</t>
        </is>
      </c>
      <c r="C94" s="3" t="inlineStr">
        <is>
          <t>Write and solve inverse variation equations</t>
        </is>
      </c>
      <c r="D94" s="3" t="inlineStr">
        <is>
          <t>K</t>
        </is>
      </c>
      <c r="E94" s="3" t="inlineStr">
        <is>
          <t>Direct and inverse variation</t>
        </is>
      </c>
      <c r="F94" s="3" t="inlineStr">
        <is>
          <t>Infer a rule, then satisfy a condition</t>
        </is>
      </c>
      <c r="G94" s="3" t="inlineStr">
        <is>
          <t>Measure</t>
        </is>
      </c>
      <c r="H94" s="3" t="inlineStr">
        <is>
          <t>Represent</t>
        </is>
      </c>
      <c r="I94" s="3" t="inlineStr">
        <is>
          <t>Constrain</t>
        </is>
      </c>
      <c r="J94" s="3" t="inlineStr">
        <is>
          <t>Measure -&gt; Represent -&gt; Constrain</t>
        </is>
      </c>
      <c r="K94" s="2">
        <f>COUNTA(G94:I94)</f>
        <v/>
      </c>
      <c r="L94" s="2">
        <f>IF(K94&gt;1,"Composed","Atomic")</f>
        <v/>
      </c>
      <c r="M94" s="4" t="inlineStr">
        <is>
          <t>Pass</t>
        </is>
      </c>
      <c r="N94" s="3" t="inlineStr">
        <is>
          <t>Was Generalize+Constrain. Expanded to Measure -&gt; Represent -&gt; Constrain.</t>
        </is>
      </c>
    </row>
    <row r="95">
      <c r="A95" s="5" t="n">
        <v>94</v>
      </c>
      <c r="B95" s="6" t="inlineStr">
        <is>
          <t>L.1</t>
        </is>
      </c>
      <c r="C95" s="6" t="inlineStr">
        <is>
          <t>Identify linear functions</t>
        </is>
      </c>
      <c r="D95" s="6" t="inlineStr">
        <is>
          <t>L</t>
        </is>
      </c>
      <c r="E95" s="6" t="inlineStr">
        <is>
          <t>Linear functions</t>
        </is>
      </c>
      <c r="F95" s="6" t="inlineStr">
        <is>
          <t>Assign an object to a category by its properties</t>
        </is>
      </c>
      <c r="G95" s="6" t="inlineStr">
        <is>
          <t>Identify</t>
        </is>
      </c>
      <c r="H95" s="6" t="inlineStr"/>
      <c r="I95" s="6" t="inlineStr"/>
      <c r="J95" s="6" t="inlineStr">
        <is>
          <t>Identify</t>
        </is>
      </c>
      <c r="K95" s="5">
        <f>COUNTA(G95:I95)</f>
        <v/>
      </c>
      <c r="L95" s="5">
        <f>IF(K95&gt;1,"Composed","Atomic")</f>
        <v/>
      </c>
      <c r="M95" s="4" t="inlineStr">
        <is>
          <t>Pass</t>
        </is>
      </c>
      <c r="N95" s="6" t="inlineStr"/>
    </row>
    <row r="96">
      <c r="A96" s="2" t="n">
        <v>95</v>
      </c>
      <c r="B96" s="3" t="inlineStr">
        <is>
          <t>L.2</t>
        </is>
      </c>
      <c r="C96" s="3" t="inlineStr">
        <is>
          <t>Find the slope of a graph</t>
        </is>
      </c>
      <c r="D96" s="3" t="inlineStr">
        <is>
          <t>L</t>
        </is>
      </c>
      <c r="E96" s="3" t="inlineStr">
        <is>
          <t>Linear functions</t>
        </is>
      </c>
      <c r="F96" s="3" t="inlineStr">
        <is>
          <t>Quantify a rate from a representation</t>
        </is>
      </c>
      <c r="G96" s="3" t="inlineStr">
        <is>
          <t>Measure</t>
        </is>
      </c>
      <c r="H96" s="3" t="inlineStr"/>
      <c r="I96" s="3" t="inlineStr"/>
      <c r="J96" s="3" t="inlineStr">
        <is>
          <t>Measure</t>
        </is>
      </c>
      <c r="K96" s="2">
        <f>COUNTA(G96:I96)</f>
        <v/>
      </c>
      <c r="L96" s="2">
        <f>IF(K96&gt;1,"Composed","Atomic")</f>
        <v/>
      </c>
      <c r="M96" s="4" t="inlineStr">
        <is>
          <t>Pass</t>
        </is>
      </c>
      <c r="N96" s="3" t="inlineStr"/>
    </row>
    <row r="97">
      <c r="A97" s="5" t="n">
        <v>96</v>
      </c>
      <c r="B97" s="6" t="inlineStr">
        <is>
          <t>L.3</t>
        </is>
      </c>
      <c r="C97" s="6" t="inlineStr">
        <is>
          <t>Find the slope from two points</t>
        </is>
      </c>
      <c r="D97" s="6" t="inlineStr">
        <is>
          <t>L</t>
        </is>
      </c>
      <c r="E97" s="6" t="inlineStr">
        <is>
          <t>Linear functions</t>
        </is>
      </c>
      <c r="F97" s="6" t="inlineStr">
        <is>
          <t>Quantify a rate from given magnitudes</t>
        </is>
      </c>
      <c r="G97" s="6" t="inlineStr">
        <is>
          <t>Measure</t>
        </is>
      </c>
      <c r="H97" s="6" t="inlineStr"/>
      <c r="I97" s="6" t="inlineStr"/>
      <c r="J97" s="6" t="inlineStr">
        <is>
          <t>Measure</t>
        </is>
      </c>
      <c r="K97" s="5">
        <f>COUNTA(G97:I97)</f>
        <v/>
      </c>
      <c r="L97" s="5">
        <f>IF(K97&gt;1,"Composed","Atomic")</f>
        <v/>
      </c>
      <c r="M97" s="4" t="inlineStr">
        <is>
          <t>Pass</t>
        </is>
      </c>
      <c r="N97" s="6" t="inlineStr"/>
    </row>
    <row r="98">
      <c r="A98" s="2" t="n">
        <v>97</v>
      </c>
      <c r="B98" s="3" t="inlineStr">
        <is>
          <t>L.4</t>
        </is>
      </c>
      <c r="C98" s="3" t="inlineStr">
        <is>
          <t>Find a missing coordinate using slope</t>
        </is>
      </c>
      <c r="D98" s="3" t="inlineStr">
        <is>
          <t>L</t>
        </is>
      </c>
      <c r="E98" s="3" t="inlineStr">
        <is>
          <t>Linear functions</t>
        </is>
      </c>
      <c r="F98" s="3" t="inlineStr">
        <is>
          <t>Satisfy a rate condition to recover a value</t>
        </is>
      </c>
      <c r="G98" s="3" t="inlineStr">
        <is>
          <t>Constrain</t>
        </is>
      </c>
      <c r="H98" s="3" t="inlineStr"/>
      <c r="I98" s="3" t="inlineStr"/>
      <c r="J98" s="3" t="inlineStr">
        <is>
          <t>Constrain</t>
        </is>
      </c>
      <c r="K98" s="2">
        <f>COUNTA(G98:I98)</f>
        <v/>
      </c>
      <c r="L98" s="2">
        <f>IF(K98&gt;1,"Composed","Atomic")</f>
        <v/>
      </c>
      <c r="M98" s="4" t="inlineStr">
        <is>
          <t>Pass</t>
        </is>
      </c>
      <c r="N98" s="3" t="inlineStr">
        <is>
          <t>Was Constrain+Measure. Same as DD.1.</t>
        </is>
      </c>
    </row>
    <row r="99">
      <c r="A99" s="5" t="n">
        <v>98</v>
      </c>
      <c r="B99" s="6" t="inlineStr">
        <is>
          <t>L.5</t>
        </is>
      </c>
      <c r="C99" s="6" t="inlineStr">
        <is>
          <t>Slope-intercept form: find the slope and y-intercept</t>
        </is>
      </c>
      <c r="D99" s="6" t="inlineStr">
        <is>
          <t>L</t>
        </is>
      </c>
      <c r="E99" s="6" t="inlineStr">
        <is>
          <t>Linear functions</t>
        </is>
      </c>
      <c r="F99" s="6" t="inlineStr">
        <is>
          <t>Extract parameters from a canonical form</t>
        </is>
      </c>
      <c r="G99" s="6" t="inlineStr">
        <is>
          <t>Identify</t>
        </is>
      </c>
      <c r="H99" s="6" t="inlineStr"/>
      <c r="I99" s="6" t="inlineStr"/>
      <c r="J99" s="6" t="inlineStr">
        <is>
          <t>Identify</t>
        </is>
      </c>
      <c r="K99" s="5">
        <f>COUNTA(G99:I99)</f>
        <v/>
      </c>
      <c r="L99" s="5">
        <f>IF(K99&gt;1,"Composed","Atomic")</f>
        <v/>
      </c>
      <c r="M99" s="4" t="inlineStr">
        <is>
          <t>Pass</t>
        </is>
      </c>
      <c r="N99" s="6" t="inlineStr">
        <is>
          <t>Was Identify+Transform. Reading parameters off a canonical form is Identify.</t>
        </is>
      </c>
    </row>
    <row r="100">
      <c r="A100" s="2" t="n">
        <v>99</v>
      </c>
      <c r="B100" s="3" t="inlineStr">
        <is>
          <t>L.6</t>
        </is>
      </c>
      <c r="C100" s="3" t="inlineStr">
        <is>
          <t>Slope-intercept form: graph an equation</t>
        </is>
      </c>
      <c r="D100" s="3" t="inlineStr">
        <is>
          <t>L</t>
        </is>
      </c>
      <c r="E100" s="3" t="inlineStr">
        <is>
          <t>Linear functions</t>
        </is>
      </c>
      <c r="F100" s="3" t="inlineStr">
        <is>
          <t>Move symbols into a spatial representation</t>
        </is>
      </c>
      <c r="G100" s="3" t="inlineStr">
        <is>
          <t>Represent</t>
        </is>
      </c>
      <c r="H100" s="3" t="inlineStr"/>
      <c r="I100" s="3" t="inlineStr"/>
      <c r="J100" s="3" t="inlineStr">
        <is>
          <t>Represent</t>
        </is>
      </c>
      <c r="K100" s="2">
        <f>COUNTA(G100:I100)</f>
        <v/>
      </c>
      <c r="L100" s="2">
        <f>IF(K100&gt;1,"Composed","Atomic")</f>
        <v/>
      </c>
      <c r="M100" s="4" t="inlineStr">
        <is>
          <t>Pass</t>
        </is>
      </c>
      <c r="N100" s="3" t="inlineStr"/>
    </row>
    <row r="101">
      <c r="A101" s="5" t="n">
        <v>100</v>
      </c>
      <c r="B101" s="6" t="inlineStr">
        <is>
          <t>L.7</t>
        </is>
      </c>
      <c r="C101" s="6" t="inlineStr">
        <is>
          <t>Slope-intercept form: write an equation from a graph</t>
        </is>
      </c>
      <c r="D101" s="6" t="inlineStr">
        <is>
          <t>L</t>
        </is>
      </c>
      <c r="E101" s="6" t="inlineStr">
        <is>
          <t>Linear functions</t>
        </is>
      </c>
      <c r="F101" s="6" t="inlineStr">
        <is>
          <t>Move a spatial representation into symbols</t>
        </is>
      </c>
      <c r="G101" s="6" t="inlineStr">
        <is>
          <t>Represent</t>
        </is>
      </c>
      <c r="H101" s="6" t="inlineStr"/>
      <c r="I101" s="6" t="inlineStr"/>
      <c r="J101" s="6" t="inlineStr">
        <is>
          <t>Represent</t>
        </is>
      </c>
      <c r="K101" s="5">
        <f>COUNTA(G101:I101)</f>
        <v/>
      </c>
      <c r="L101" s="5">
        <f>IF(K101&gt;1,"Composed","Atomic")</f>
        <v/>
      </c>
      <c r="M101" s="4" t="inlineStr">
        <is>
          <t>Pass</t>
        </is>
      </c>
      <c r="N101" s="6" t="inlineStr"/>
    </row>
    <row r="102">
      <c r="A102" s="2" t="n">
        <v>101</v>
      </c>
      <c r="B102" s="3" t="inlineStr">
        <is>
          <t>L.8</t>
        </is>
      </c>
      <c r="C102" s="3" t="inlineStr">
        <is>
          <t>Slope-intercept form: write an equation</t>
        </is>
      </c>
      <c r="D102" s="3" t="inlineStr">
        <is>
          <t>L</t>
        </is>
      </c>
      <c r="E102" s="3" t="inlineStr">
        <is>
          <t>Linear functions</t>
        </is>
      </c>
      <c r="F102" s="3" t="inlineStr">
        <is>
          <t>Build a rule from given parameters</t>
        </is>
      </c>
      <c r="G102" s="3" t="inlineStr">
        <is>
          <t>Represent</t>
        </is>
      </c>
      <c r="H102" s="3" t="inlineStr"/>
      <c r="I102" s="3" t="inlineStr"/>
      <c r="J102" s="3" t="inlineStr">
        <is>
          <t>Represent</t>
        </is>
      </c>
      <c r="K102" s="2">
        <f>COUNTA(G102:I102)</f>
        <v/>
      </c>
      <c r="L102" s="2">
        <f>IF(K102&gt;1,"Composed","Atomic")</f>
        <v/>
      </c>
      <c r="M102" s="4" t="inlineStr">
        <is>
          <t>Pass</t>
        </is>
      </c>
      <c r="N102" s="3" t="inlineStr">
        <is>
          <t>Was Represent+Generalize. Parameters are given; this is assembly, not inference.</t>
        </is>
      </c>
    </row>
    <row r="103">
      <c r="A103" s="5" t="n">
        <v>102</v>
      </c>
      <c r="B103" s="6" t="inlineStr">
        <is>
          <t>L.9</t>
        </is>
      </c>
      <c r="C103" s="6" t="inlineStr">
        <is>
          <t>Linear equations: solve for y</t>
        </is>
      </c>
      <c r="D103" s="6" t="inlineStr">
        <is>
          <t>L</t>
        </is>
      </c>
      <c r="E103" s="6" t="inlineStr">
        <is>
          <t>Linear functions</t>
        </is>
      </c>
      <c r="F103" s="6" t="inlineStr">
        <is>
          <t>Rewrite into an equivalent isolated form</t>
        </is>
      </c>
      <c r="G103" s="6" t="inlineStr">
        <is>
          <t>Transform</t>
        </is>
      </c>
      <c r="H103" s="6" t="inlineStr"/>
      <c r="I103" s="6" t="inlineStr"/>
      <c r="J103" s="6" t="inlineStr">
        <is>
          <t>Transform</t>
        </is>
      </c>
      <c r="K103" s="5">
        <f>COUNTA(G103:I103)</f>
        <v/>
      </c>
      <c r="L103" s="5">
        <f>IF(K103&gt;1,"Composed","Atomic")</f>
        <v/>
      </c>
      <c r="M103" s="4" t="inlineStr">
        <is>
          <t>Pass</t>
        </is>
      </c>
      <c r="N103" s="6" t="inlineStr"/>
    </row>
    <row r="104">
      <c r="A104" s="2" t="n">
        <v>103</v>
      </c>
      <c r="B104" s="3" t="inlineStr">
        <is>
          <t>L.10</t>
        </is>
      </c>
      <c r="C104" s="3" t="inlineStr">
        <is>
          <t>Slope-intercept form: write an equation from a table</t>
        </is>
      </c>
      <c r="D104" s="3" t="inlineStr">
        <is>
          <t>L</t>
        </is>
      </c>
      <c r="E104" s="3" t="inlineStr">
        <is>
          <t>Linear functions</t>
        </is>
      </c>
      <c r="F104" s="3" t="inlineStr">
        <is>
          <t>Infer a rule from cases, express symbolically</t>
        </is>
      </c>
      <c r="G104" s="3" t="inlineStr">
        <is>
          <t>Generalize</t>
        </is>
      </c>
      <c r="H104" s="3" t="inlineStr">
        <is>
          <t>Represent</t>
        </is>
      </c>
      <c r="I104" s="3" t="inlineStr"/>
      <c r="J104" s="3" t="inlineStr">
        <is>
          <t>Generalize -&gt; Represent</t>
        </is>
      </c>
      <c r="K104" s="2">
        <f>COUNTA(G104:I104)</f>
        <v/>
      </c>
      <c r="L104" s="2">
        <f>IF(K104&gt;1,"Composed","Atomic")</f>
        <v/>
      </c>
      <c r="M104" s="4" t="inlineStr">
        <is>
          <t>Pass</t>
        </is>
      </c>
      <c r="N104" s="3" t="inlineStr">
        <is>
          <t>Was Generalize+Represent, kept - genuine inference from a table.</t>
        </is>
      </c>
    </row>
    <row r="105">
      <c r="A105" s="5" t="n">
        <v>104</v>
      </c>
      <c r="B105" s="6" t="inlineStr">
        <is>
          <t>L.11</t>
        </is>
      </c>
      <c r="C105" s="6" t="inlineStr">
        <is>
          <t>Slope-intercept form: write an equation from a word problem</t>
        </is>
      </c>
      <c r="D105" s="6" t="inlineStr">
        <is>
          <t>L</t>
        </is>
      </c>
      <c r="E105" s="6" t="inlineStr">
        <is>
          <t>Linear functions</t>
        </is>
      </c>
      <c r="F105" s="6" t="inlineStr">
        <is>
          <t>Translate a situation into a general rule</t>
        </is>
      </c>
      <c r="G105" s="6" t="inlineStr">
        <is>
          <t>Represent</t>
        </is>
      </c>
      <c r="H105" s="6" t="inlineStr">
        <is>
          <t>Generalize</t>
        </is>
      </c>
      <c r="I105" s="6" t="inlineStr"/>
      <c r="J105" s="6" t="inlineStr">
        <is>
          <t>Represent -&gt; Generalize</t>
        </is>
      </c>
      <c r="K105" s="5">
        <f>COUNTA(G105:I105)</f>
        <v/>
      </c>
      <c r="L105" s="5">
        <f>IF(K105&gt;1,"Composed","Atomic")</f>
        <v/>
      </c>
      <c r="M105" s="4" t="inlineStr">
        <is>
          <t>Pass</t>
        </is>
      </c>
      <c r="N105" s="6" t="inlineStr">
        <is>
          <t>Was Represent+Generalize, kept.</t>
        </is>
      </c>
    </row>
    <row r="106">
      <c r="A106" s="2" t="n">
        <v>105</v>
      </c>
      <c r="B106" s="3" t="inlineStr">
        <is>
          <t>L.12</t>
        </is>
      </c>
      <c r="C106" s="3" t="inlineStr">
        <is>
          <t>Write linear functions to solve word problems</t>
        </is>
      </c>
      <c r="D106" s="3" t="inlineStr">
        <is>
          <t>L</t>
        </is>
      </c>
      <c r="E106" s="3" t="inlineStr">
        <is>
          <t>Linear functions</t>
        </is>
      </c>
      <c r="F106" s="3" t="inlineStr">
        <is>
          <t>Translate a situation into a general rule</t>
        </is>
      </c>
      <c r="G106" s="3" t="inlineStr">
        <is>
          <t>Represent</t>
        </is>
      </c>
      <c r="H106" s="3" t="inlineStr">
        <is>
          <t>Generalize</t>
        </is>
      </c>
      <c r="I106" s="3" t="inlineStr"/>
      <c r="J106" s="3" t="inlineStr">
        <is>
          <t>Represent -&gt; Generalize</t>
        </is>
      </c>
      <c r="K106" s="2">
        <f>COUNTA(G106:I106)</f>
        <v/>
      </c>
      <c r="L106" s="2">
        <f>IF(K106&gt;1,"Composed","Atomic")</f>
        <v/>
      </c>
      <c r="M106" s="4" t="inlineStr">
        <is>
          <t>Pass</t>
        </is>
      </c>
      <c r="N106" s="3" t="inlineStr">
        <is>
          <t>Was Represent+Generalize, kept.</t>
        </is>
      </c>
    </row>
    <row r="107">
      <c r="A107" s="5" t="n">
        <v>106</v>
      </c>
      <c r="B107" s="6" t="inlineStr">
        <is>
          <t>L.13</t>
        </is>
      </c>
      <c r="C107" s="6" t="inlineStr">
        <is>
          <t>Complete a table and graph a linear function</t>
        </is>
      </c>
      <c r="D107" s="6" t="inlineStr">
        <is>
          <t>L</t>
        </is>
      </c>
      <c r="E107" s="6" t="inlineStr">
        <is>
          <t>Linear functions</t>
        </is>
      </c>
      <c r="F107" s="6" t="inlineStr">
        <is>
          <t>Move a rule across representations</t>
        </is>
      </c>
      <c r="G107" s="6" t="inlineStr">
        <is>
          <t>Transform</t>
        </is>
      </c>
      <c r="H107" s="6" t="inlineStr">
        <is>
          <t>Represent</t>
        </is>
      </c>
      <c r="I107" s="6" t="inlineStr"/>
      <c r="J107" s="6" t="inlineStr">
        <is>
          <t>Transform -&gt; Represent</t>
        </is>
      </c>
      <c r="K107" s="5">
        <f>COUNTA(G107:I107)</f>
        <v/>
      </c>
      <c r="L107" s="5">
        <f>IF(K107&gt;1,"Composed","Atomic")</f>
        <v/>
      </c>
      <c r="M107" s="4" t="inlineStr">
        <is>
          <t>Pass</t>
        </is>
      </c>
      <c r="N107" s="6" t="inlineStr">
        <is>
          <t>Was Represent alone. Transform step made explicit.</t>
        </is>
      </c>
    </row>
    <row r="108">
      <c r="A108" s="2" t="n">
        <v>107</v>
      </c>
      <c r="B108" s="3" t="inlineStr">
        <is>
          <t>L.14</t>
        </is>
      </c>
      <c r="C108" s="3" t="inlineStr">
        <is>
          <t>Compare linear functions: graphs, tables and equations</t>
        </is>
      </c>
      <c r="D108" s="3" t="inlineStr">
        <is>
          <t>L</t>
        </is>
      </c>
      <c r="E108" s="3" t="inlineStr">
        <is>
          <t>Linear functions</t>
        </is>
      </c>
      <c r="F108" s="3" t="inlineStr">
        <is>
          <t>Judge relative properties across representations</t>
        </is>
      </c>
      <c r="G108" s="3" t="inlineStr">
        <is>
          <t>Represent</t>
        </is>
      </c>
      <c r="H108" s="3" t="inlineStr">
        <is>
          <t>Compare</t>
        </is>
      </c>
      <c r="I108" s="3" t="inlineStr"/>
      <c r="J108" s="3" t="inlineStr">
        <is>
          <t>Represent -&gt; Compare</t>
        </is>
      </c>
      <c r="K108" s="2">
        <f>COUNTA(G108:I108)</f>
        <v/>
      </c>
      <c r="L108" s="2">
        <f>IF(K108&gt;1,"Composed","Atomic")</f>
        <v/>
      </c>
      <c r="M108" s="4" t="inlineStr">
        <is>
          <t>Pass</t>
        </is>
      </c>
      <c r="N108" s="3" t="inlineStr"/>
    </row>
    <row r="109">
      <c r="A109" s="5" t="n">
        <v>108</v>
      </c>
      <c r="B109" s="6" t="inlineStr">
        <is>
          <t>L.15</t>
        </is>
      </c>
      <c r="C109" s="6" t="inlineStr">
        <is>
          <t>Write equations in standard form</t>
        </is>
      </c>
      <c r="D109" s="6" t="inlineStr">
        <is>
          <t>L</t>
        </is>
      </c>
      <c r="E109" s="6" t="inlineStr">
        <is>
          <t>Linear functions</t>
        </is>
      </c>
      <c r="F109" s="6" t="inlineStr">
        <is>
          <t>Rewrite into an equivalent canonical form</t>
        </is>
      </c>
      <c r="G109" s="6" t="inlineStr">
        <is>
          <t>Transform</t>
        </is>
      </c>
      <c r="H109" s="6" t="inlineStr"/>
      <c r="I109" s="6" t="inlineStr"/>
      <c r="J109" s="6" t="inlineStr">
        <is>
          <t>Transform</t>
        </is>
      </c>
      <c r="K109" s="5">
        <f>COUNTA(G109:I109)</f>
        <v/>
      </c>
      <c r="L109" s="5">
        <f>IF(K109&gt;1,"Composed","Atomic")</f>
        <v/>
      </c>
      <c r="M109" s="4" t="inlineStr">
        <is>
          <t>Pass</t>
        </is>
      </c>
      <c r="N109" s="6" t="inlineStr"/>
    </row>
    <row r="110">
      <c r="A110" s="2" t="n">
        <v>109</v>
      </c>
      <c r="B110" s="3" t="inlineStr">
        <is>
          <t>L.16</t>
        </is>
      </c>
      <c r="C110" s="3" t="inlineStr">
        <is>
          <t>Standard form: find x- and y-intercepts</t>
        </is>
      </c>
      <c r="D110" s="3" t="inlineStr">
        <is>
          <t>L</t>
        </is>
      </c>
      <c r="E110" s="3" t="inlineStr">
        <is>
          <t>Linear functions</t>
        </is>
      </c>
      <c r="F110" s="3" t="inlineStr">
        <is>
          <t>Satisfy a zero condition to recover values</t>
        </is>
      </c>
      <c r="G110" s="3" t="inlineStr">
        <is>
          <t>Constrain</t>
        </is>
      </c>
      <c r="H110" s="3" t="inlineStr"/>
      <c r="I110" s="3" t="inlineStr"/>
      <c r="J110" s="3" t="inlineStr">
        <is>
          <t>Constrain</t>
        </is>
      </c>
      <c r="K110" s="2">
        <f>COUNTA(G110:I110)</f>
        <v/>
      </c>
      <c r="L110" s="2">
        <f>IF(K110&gt;1,"Composed","Atomic")</f>
        <v/>
      </c>
      <c r="M110" s="4" t="inlineStr">
        <is>
          <t>Pass</t>
        </is>
      </c>
      <c r="N110" s="3" t="inlineStr">
        <is>
          <t>Was Constrain alone. Unchanged.</t>
        </is>
      </c>
    </row>
    <row r="111">
      <c r="A111" s="5" t="n">
        <v>110</v>
      </c>
      <c r="B111" s="6" t="inlineStr">
        <is>
          <t>L.17</t>
        </is>
      </c>
      <c r="C111" s="6" t="inlineStr">
        <is>
          <t>Standard form: graph an equation</t>
        </is>
      </c>
      <c r="D111" s="6" t="inlineStr">
        <is>
          <t>L</t>
        </is>
      </c>
      <c r="E111" s="6" t="inlineStr">
        <is>
          <t>Linear functions</t>
        </is>
      </c>
      <c r="F111" s="6" t="inlineStr">
        <is>
          <t>Move symbols into a spatial representation</t>
        </is>
      </c>
      <c r="G111" s="6" t="inlineStr">
        <is>
          <t>Represent</t>
        </is>
      </c>
      <c r="H111" s="6" t="inlineStr"/>
      <c r="I111" s="6" t="inlineStr"/>
      <c r="J111" s="6" t="inlineStr">
        <is>
          <t>Represent</t>
        </is>
      </c>
      <c r="K111" s="5">
        <f>COUNTA(G111:I111)</f>
        <v/>
      </c>
      <c r="L111" s="5">
        <f>IF(K111&gt;1,"Composed","Atomic")</f>
        <v/>
      </c>
      <c r="M111" s="4" t="inlineStr">
        <is>
          <t>Pass</t>
        </is>
      </c>
      <c r="N111" s="6" t="inlineStr"/>
    </row>
    <row r="112">
      <c r="A112" s="2" t="n">
        <v>111</v>
      </c>
      <c r="B112" s="3" t="inlineStr">
        <is>
          <t>L.18</t>
        </is>
      </c>
      <c r="C112" s="3" t="inlineStr">
        <is>
          <t>Equations of horizontal and vertical lines</t>
        </is>
      </c>
      <c r="D112" s="3" t="inlineStr">
        <is>
          <t>L</t>
        </is>
      </c>
      <c r="E112" s="3" t="inlineStr">
        <is>
          <t>Linear functions</t>
        </is>
      </c>
      <c r="F112" s="3" t="inlineStr">
        <is>
          <t>Match a special case to its symbolic form</t>
        </is>
      </c>
      <c r="G112" s="3" t="inlineStr">
        <is>
          <t>Represent</t>
        </is>
      </c>
      <c r="H112" s="3" t="inlineStr"/>
      <c r="I112" s="3" t="inlineStr"/>
      <c r="J112" s="3" t="inlineStr">
        <is>
          <t>Represent</t>
        </is>
      </c>
      <c r="K112" s="2">
        <f>COUNTA(G112:I112)</f>
        <v/>
      </c>
      <c r="L112" s="2">
        <f>IF(K112&gt;1,"Composed","Atomic")</f>
        <v/>
      </c>
      <c r="M112" s="4" t="inlineStr">
        <is>
          <t>Pass</t>
        </is>
      </c>
      <c r="N112" s="3" t="inlineStr">
        <is>
          <t>Was Represent+Identify. Matching to symbolic form is Represent.</t>
        </is>
      </c>
    </row>
    <row r="113">
      <c r="A113" s="5" t="n">
        <v>112</v>
      </c>
      <c r="B113" s="6" t="inlineStr">
        <is>
          <t>L.19</t>
        </is>
      </c>
      <c r="C113" s="6" t="inlineStr">
        <is>
          <t>Graph a horizontal or vertical line</t>
        </is>
      </c>
      <c r="D113" s="6" t="inlineStr">
        <is>
          <t>L</t>
        </is>
      </c>
      <c r="E113" s="6" t="inlineStr">
        <is>
          <t>Linear functions</t>
        </is>
      </c>
      <c r="F113" s="6" t="inlineStr">
        <is>
          <t>Move symbols into a spatial representation</t>
        </is>
      </c>
      <c r="G113" s="6" t="inlineStr">
        <is>
          <t>Represent</t>
        </is>
      </c>
      <c r="H113" s="6" t="inlineStr"/>
      <c r="I113" s="6" t="inlineStr"/>
      <c r="J113" s="6" t="inlineStr">
        <is>
          <t>Represent</t>
        </is>
      </c>
      <c r="K113" s="5">
        <f>COUNTA(G113:I113)</f>
        <v/>
      </c>
      <c r="L113" s="5">
        <f>IF(K113&gt;1,"Composed","Atomic")</f>
        <v/>
      </c>
      <c r="M113" s="4" t="inlineStr">
        <is>
          <t>Pass</t>
        </is>
      </c>
      <c r="N113" s="6" t="inlineStr"/>
    </row>
    <row r="114">
      <c r="A114" s="2" t="n">
        <v>113</v>
      </c>
      <c r="B114" s="3" t="inlineStr">
        <is>
          <t>L.20</t>
        </is>
      </c>
      <c r="C114" s="3" t="inlineStr">
        <is>
          <t>Point-slope form: graph an equation</t>
        </is>
      </c>
      <c r="D114" s="3" t="inlineStr">
        <is>
          <t>L</t>
        </is>
      </c>
      <c r="E114" s="3" t="inlineStr">
        <is>
          <t>Linear functions</t>
        </is>
      </c>
      <c r="F114" s="3" t="inlineStr">
        <is>
          <t>Move symbols into a spatial representation</t>
        </is>
      </c>
      <c r="G114" s="3" t="inlineStr">
        <is>
          <t>Represent</t>
        </is>
      </c>
      <c r="H114" s="3" t="inlineStr"/>
      <c r="I114" s="3" t="inlineStr"/>
      <c r="J114" s="3" t="inlineStr">
        <is>
          <t>Represent</t>
        </is>
      </c>
      <c r="K114" s="2">
        <f>COUNTA(G114:I114)</f>
        <v/>
      </c>
      <c r="L114" s="2">
        <f>IF(K114&gt;1,"Composed","Atomic")</f>
        <v/>
      </c>
      <c r="M114" s="4" t="inlineStr">
        <is>
          <t>Pass</t>
        </is>
      </c>
      <c r="N114" s="3" t="inlineStr"/>
    </row>
    <row r="115">
      <c r="A115" s="5" t="n">
        <v>114</v>
      </c>
      <c r="B115" s="6" t="inlineStr">
        <is>
          <t>L.21</t>
        </is>
      </c>
      <c r="C115" s="6" t="inlineStr">
        <is>
          <t>Point-slope form: write an equation</t>
        </is>
      </c>
      <c r="D115" s="6" t="inlineStr">
        <is>
          <t>L</t>
        </is>
      </c>
      <c r="E115" s="6" t="inlineStr">
        <is>
          <t>Linear functions</t>
        </is>
      </c>
      <c r="F115" s="6" t="inlineStr">
        <is>
          <t>Build a rule from given parameters</t>
        </is>
      </c>
      <c r="G115" s="6" t="inlineStr">
        <is>
          <t>Represent</t>
        </is>
      </c>
      <c r="H115" s="6" t="inlineStr"/>
      <c r="I115" s="6" t="inlineStr"/>
      <c r="J115" s="6" t="inlineStr">
        <is>
          <t>Represent</t>
        </is>
      </c>
      <c r="K115" s="5">
        <f>COUNTA(G115:I115)</f>
        <v/>
      </c>
      <c r="L115" s="5">
        <f>IF(K115&gt;1,"Composed","Atomic")</f>
        <v/>
      </c>
      <c r="M115" s="4" t="inlineStr">
        <is>
          <t>Pass</t>
        </is>
      </c>
      <c r="N115" s="6" t="inlineStr">
        <is>
          <t>Was Represent+Generalize. Same as L.8.</t>
        </is>
      </c>
    </row>
    <row r="116">
      <c r="A116" s="2" t="n">
        <v>115</v>
      </c>
      <c r="B116" s="3" t="inlineStr">
        <is>
          <t>L.22</t>
        </is>
      </c>
      <c r="C116" s="3" t="inlineStr">
        <is>
          <t>Point-slope form: write an equation from a graph</t>
        </is>
      </c>
      <c r="D116" s="3" t="inlineStr">
        <is>
          <t>L</t>
        </is>
      </c>
      <c r="E116" s="3" t="inlineStr">
        <is>
          <t>Linear functions</t>
        </is>
      </c>
      <c r="F116" s="3" t="inlineStr">
        <is>
          <t>Move a spatial representation into symbols</t>
        </is>
      </c>
      <c r="G116" s="3" t="inlineStr">
        <is>
          <t>Represent</t>
        </is>
      </c>
      <c r="H116" s="3" t="inlineStr"/>
      <c r="I116" s="3" t="inlineStr"/>
      <c r="J116" s="3" t="inlineStr">
        <is>
          <t>Represent</t>
        </is>
      </c>
      <c r="K116" s="2">
        <f>COUNTA(G116:I116)</f>
        <v/>
      </c>
      <c r="L116" s="2">
        <f>IF(K116&gt;1,"Composed","Atomic")</f>
        <v/>
      </c>
      <c r="M116" s="4" t="inlineStr">
        <is>
          <t>Pass</t>
        </is>
      </c>
      <c r="N116" s="3" t="inlineStr"/>
    </row>
    <row r="117">
      <c r="A117" s="5" t="n">
        <v>116</v>
      </c>
      <c r="B117" s="6" t="inlineStr">
        <is>
          <t>L.23</t>
        </is>
      </c>
      <c r="C117" s="6" t="inlineStr">
        <is>
          <t>Slopes of parallel and perpendicular lines</t>
        </is>
      </c>
      <c r="D117" s="6" t="inlineStr">
        <is>
          <t>L</t>
        </is>
      </c>
      <c r="E117" s="6" t="inlineStr">
        <is>
          <t>Linear functions</t>
        </is>
      </c>
      <c r="F117" s="6" t="inlineStr">
        <is>
          <t>Relate two rates by a fixed relationship</t>
        </is>
      </c>
      <c r="G117" s="6" t="inlineStr">
        <is>
          <t>Measure</t>
        </is>
      </c>
      <c r="H117" s="6" t="inlineStr">
        <is>
          <t>Compare</t>
        </is>
      </c>
      <c r="I117" s="6" t="inlineStr"/>
      <c r="J117" s="6" t="inlineStr">
        <is>
          <t>Measure -&gt; Compare</t>
        </is>
      </c>
      <c r="K117" s="5">
        <f>COUNTA(G117:I117)</f>
        <v/>
      </c>
      <c r="L117" s="5">
        <f>IF(K117&gt;1,"Composed","Atomic")</f>
        <v/>
      </c>
      <c r="M117" s="4" t="inlineStr">
        <is>
          <t>Pass</t>
        </is>
      </c>
      <c r="N117" s="6" t="inlineStr"/>
    </row>
    <row r="118">
      <c r="A118" s="2" t="n">
        <v>117</v>
      </c>
      <c r="B118" s="3" t="inlineStr">
        <is>
          <t>L.24</t>
        </is>
      </c>
      <c r="C118" s="3" t="inlineStr">
        <is>
          <t>Write an equation for a parallel or perpendicular line</t>
        </is>
      </c>
      <c r="D118" s="3" t="inlineStr">
        <is>
          <t>L</t>
        </is>
      </c>
      <c r="E118" s="3" t="inlineStr">
        <is>
          <t>Linear functions</t>
        </is>
      </c>
      <c r="F118" s="3" t="inlineStr">
        <is>
          <t>Satisfy a relational condition, then express it</t>
        </is>
      </c>
      <c r="G118" s="3" t="inlineStr">
        <is>
          <t>Measure</t>
        </is>
      </c>
      <c r="H118" s="3" t="inlineStr">
        <is>
          <t>Represent</t>
        </is>
      </c>
      <c r="I118" s="3" t="inlineStr"/>
      <c r="J118" s="3" t="inlineStr">
        <is>
          <t>Measure -&gt; Represent</t>
        </is>
      </c>
      <c r="K118" s="2">
        <f>COUNTA(G118:I118)</f>
        <v/>
      </c>
      <c r="L118" s="2">
        <f>IF(K118&gt;1,"Composed","Atomic")</f>
        <v/>
      </c>
      <c r="M118" s="4" t="inlineStr">
        <is>
          <t>Pass</t>
        </is>
      </c>
      <c r="N118" s="3" t="inlineStr">
        <is>
          <t>Was Constrain+Represent. Reordered: derive the slope, then write the equation.</t>
        </is>
      </c>
    </row>
    <row r="119">
      <c r="A119" s="5" t="n">
        <v>118</v>
      </c>
      <c r="B119" s="6" t="inlineStr">
        <is>
          <t>L.25</t>
        </is>
      </c>
      <c r="C119" s="6" t="inlineStr">
        <is>
          <t>Find the distance between a point and a line</t>
        </is>
      </c>
      <c r="D119" s="6" t="inlineStr">
        <is>
          <t>L</t>
        </is>
      </c>
      <c r="E119" s="6" t="inlineStr">
        <is>
          <t>Linear functions</t>
        </is>
      </c>
      <c r="F119" s="6" t="inlineStr">
        <is>
          <t>Quantify a magnitude from a structure</t>
        </is>
      </c>
      <c r="G119" s="6" t="inlineStr">
        <is>
          <t>Measure</t>
        </is>
      </c>
      <c r="H119" s="6" t="inlineStr"/>
      <c r="I119" s="6" t="inlineStr"/>
      <c r="J119" s="6" t="inlineStr">
        <is>
          <t>Measure</t>
        </is>
      </c>
      <c r="K119" s="5">
        <f>COUNTA(G119:I119)</f>
        <v/>
      </c>
      <c r="L119" s="5">
        <f>IF(K119&gt;1,"Composed","Atomic")</f>
        <v/>
      </c>
      <c r="M119" s="4" t="inlineStr">
        <is>
          <t>Pass</t>
        </is>
      </c>
      <c r="N119" s="6" t="inlineStr"/>
    </row>
    <row r="120">
      <c r="A120" s="2" t="n">
        <v>119</v>
      </c>
      <c r="B120" s="3" t="inlineStr">
        <is>
          <t>L.26</t>
        </is>
      </c>
      <c r="C120" s="3" t="inlineStr">
        <is>
          <t>Find the distance between two parallel lines</t>
        </is>
      </c>
      <c r="D120" s="3" t="inlineStr">
        <is>
          <t>L</t>
        </is>
      </c>
      <c r="E120" s="3" t="inlineStr">
        <is>
          <t>Linear functions</t>
        </is>
      </c>
      <c r="F120" s="3" t="inlineStr">
        <is>
          <t>Quantify a magnitude from a structure</t>
        </is>
      </c>
      <c r="G120" s="3" t="inlineStr">
        <is>
          <t>Measure</t>
        </is>
      </c>
      <c r="H120" s="3" t="inlineStr"/>
      <c r="I120" s="3" t="inlineStr"/>
      <c r="J120" s="3" t="inlineStr">
        <is>
          <t>Measure</t>
        </is>
      </c>
      <c r="K120" s="2">
        <f>COUNTA(G120:I120)</f>
        <v/>
      </c>
      <c r="L120" s="2">
        <f>IF(K120&gt;1,"Composed","Atomic")</f>
        <v/>
      </c>
      <c r="M120" s="4" t="inlineStr">
        <is>
          <t>Pass</t>
        </is>
      </c>
      <c r="N120" s="3" t="inlineStr"/>
    </row>
    <row r="121">
      <c r="A121" s="5" t="n">
        <v>120</v>
      </c>
      <c r="B121" s="6" t="inlineStr">
        <is>
          <t>L.27</t>
        </is>
      </c>
      <c r="C121" s="6" t="inlineStr">
        <is>
          <t>Transformations of linear functions</t>
        </is>
      </c>
      <c r="D121" s="6" t="inlineStr">
        <is>
          <t>L</t>
        </is>
      </c>
      <c r="E121" s="6" t="inlineStr">
        <is>
          <t>Linear functions</t>
        </is>
      </c>
      <c r="F121" s="6" t="inlineStr">
        <is>
          <t>Map a function to its image under an operation</t>
        </is>
      </c>
      <c r="G121" s="6" t="inlineStr">
        <is>
          <t>Transform</t>
        </is>
      </c>
      <c r="H121" s="6" t="inlineStr"/>
      <c r="I121" s="6" t="inlineStr"/>
      <c r="J121" s="6" t="inlineStr">
        <is>
          <t>Transform</t>
        </is>
      </c>
      <c r="K121" s="5">
        <f>COUNTA(G121:I121)</f>
        <v/>
      </c>
      <c r="L121" s="5">
        <f>IF(K121&gt;1,"Composed","Atomic")</f>
        <v/>
      </c>
      <c r="M121" s="4" t="inlineStr">
        <is>
          <t>Pass</t>
        </is>
      </c>
      <c r="N121" s="6" t="inlineStr"/>
    </row>
    <row r="122">
      <c r="A122" s="2" t="n">
        <v>121</v>
      </c>
      <c r="B122" s="3" t="inlineStr">
        <is>
          <t>M.1</t>
        </is>
      </c>
      <c r="C122" s="3" t="inlineStr">
        <is>
          <t>Is (x, y) a solution to the system of equations?</t>
        </is>
      </c>
      <c r="D122" s="3" t="inlineStr">
        <is>
          <t>M</t>
        </is>
      </c>
      <c r="E122" s="3" t="inlineStr">
        <is>
          <t>Systems of linear equations</t>
        </is>
      </c>
      <c r="F122" s="3" t="inlineStr">
        <is>
          <t>Test a candidate against conditions</t>
        </is>
      </c>
      <c r="G122" s="3" t="inlineStr">
        <is>
          <t>Verify</t>
        </is>
      </c>
      <c r="H122" s="3" t="inlineStr"/>
      <c r="I122" s="3" t="inlineStr"/>
      <c r="J122" s="3" t="inlineStr">
        <is>
          <t>Verify</t>
        </is>
      </c>
      <c r="K122" s="2">
        <f>COUNTA(G122:I122)</f>
        <v/>
      </c>
      <c r="L122" s="2">
        <f>IF(K122&gt;1,"Composed","Atomic")</f>
        <v/>
      </c>
      <c r="M122" s="4" t="inlineStr">
        <is>
          <t>Pass</t>
        </is>
      </c>
      <c r="N122" s="3" t="inlineStr"/>
    </row>
    <row r="123">
      <c r="A123" s="5" t="n">
        <v>122</v>
      </c>
      <c r="B123" s="6" t="inlineStr">
        <is>
          <t>M.2</t>
        </is>
      </c>
      <c r="C123" s="6" t="inlineStr">
        <is>
          <t>Solve a system of equations by graphing</t>
        </is>
      </c>
      <c r="D123" s="6" t="inlineStr">
        <is>
          <t>M</t>
        </is>
      </c>
      <c r="E123" s="6" t="inlineStr">
        <is>
          <t>Systems of linear equations</t>
        </is>
      </c>
      <c r="F123" s="6" t="inlineStr">
        <is>
          <t>Satisfy simultaneous conditions via a display</t>
        </is>
      </c>
      <c r="G123" s="6" t="inlineStr">
        <is>
          <t>Represent</t>
        </is>
      </c>
      <c r="H123" s="6" t="inlineStr">
        <is>
          <t>Constrain</t>
        </is>
      </c>
      <c r="I123" s="6" t="inlineStr"/>
      <c r="J123" s="6" t="inlineStr">
        <is>
          <t>Represent -&gt; Constrain</t>
        </is>
      </c>
      <c r="K123" s="5">
        <f>COUNTA(G123:I123)</f>
        <v/>
      </c>
      <c r="L123" s="5">
        <f>IF(K123&gt;1,"Composed","Atomic")</f>
        <v/>
      </c>
      <c r="M123" s="4" t="inlineStr">
        <is>
          <t>Pass</t>
        </is>
      </c>
      <c r="N123" s="6" t="inlineStr"/>
    </row>
    <row r="124">
      <c r="A124" s="2" t="n">
        <v>123</v>
      </c>
      <c r="B124" s="3" t="inlineStr">
        <is>
          <t>M.3</t>
        </is>
      </c>
      <c r="C124" s="3" t="inlineStr">
        <is>
          <t>Solve a system of equations by graphing: word problems</t>
        </is>
      </c>
      <c r="D124" s="3" t="inlineStr">
        <is>
          <t>M</t>
        </is>
      </c>
      <c r="E124" s="3" t="inlineStr">
        <is>
          <t>Systems of linear equations</t>
        </is>
      </c>
      <c r="F124" s="3" t="inlineStr">
        <is>
          <t>Translate, then satisfy simultaneous conditions</t>
        </is>
      </c>
      <c r="G124" s="3" t="inlineStr">
        <is>
          <t>Represent</t>
        </is>
      </c>
      <c r="H124" s="3" t="inlineStr">
        <is>
          <t>Constrain</t>
        </is>
      </c>
      <c r="I124" s="3" t="inlineStr"/>
      <c r="J124" s="3" t="inlineStr">
        <is>
          <t>Represent -&gt; Constrain</t>
        </is>
      </c>
      <c r="K124" s="2">
        <f>COUNTA(G124:I124)</f>
        <v/>
      </c>
      <c r="L124" s="2">
        <f>IF(K124&gt;1,"Composed","Atomic")</f>
        <v/>
      </c>
      <c r="M124" s="4" t="inlineStr">
        <is>
          <t>Pass</t>
        </is>
      </c>
      <c r="N124" s="3" t="inlineStr"/>
    </row>
    <row r="125">
      <c r="A125" s="5" t="n">
        <v>124</v>
      </c>
      <c r="B125" s="6" t="inlineStr">
        <is>
          <t>M.4</t>
        </is>
      </c>
      <c r="C125" s="6" t="inlineStr">
        <is>
          <t>Find the number of solutions to a system of equations by graphing</t>
        </is>
      </c>
      <c r="D125" s="6" t="inlineStr">
        <is>
          <t>M</t>
        </is>
      </c>
      <c r="E125" s="6" t="inlineStr">
        <is>
          <t>Systems of linear equations</t>
        </is>
      </c>
      <c r="F125" s="6" t="inlineStr">
        <is>
          <t>Characterize a solution set from a display</t>
        </is>
      </c>
      <c r="G125" s="6" t="inlineStr">
        <is>
          <t>Represent</t>
        </is>
      </c>
      <c r="H125" s="6" t="inlineStr">
        <is>
          <t>Identify</t>
        </is>
      </c>
      <c r="I125" s="6" t="inlineStr"/>
      <c r="J125" s="6" t="inlineStr">
        <is>
          <t>Represent -&gt; Identify</t>
        </is>
      </c>
      <c r="K125" s="5">
        <f>COUNTA(G125:I125)</f>
        <v/>
      </c>
      <c r="L125" s="5">
        <f>IF(K125&gt;1,"Composed","Atomic")</f>
        <v/>
      </c>
      <c r="M125" s="4" t="inlineStr">
        <is>
          <t>Pass</t>
        </is>
      </c>
      <c r="N125" s="6" t="inlineStr"/>
    </row>
    <row r="126">
      <c r="A126" s="2" t="n">
        <v>125</v>
      </c>
      <c r="B126" s="3" t="inlineStr">
        <is>
          <t>M.5</t>
        </is>
      </c>
      <c r="C126" s="3" t="inlineStr">
        <is>
          <t>Find the number of solutions to a system of equations</t>
        </is>
      </c>
      <c r="D126" s="3" t="inlineStr">
        <is>
          <t>M</t>
        </is>
      </c>
      <c r="E126" s="3" t="inlineStr">
        <is>
          <t>Systems of linear equations</t>
        </is>
      </c>
      <c r="F126" s="3" t="inlineStr">
        <is>
          <t>Characterize a solution set from structure</t>
        </is>
      </c>
      <c r="G126" s="3" t="inlineStr">
        <is>
          <t>Transform</t>
        </is>
      </c>
      <c r="H126" s="3" t="inlineStr">
        <is>
          <t>Identify</t>
        </is>
      </c>
      <c r="I126" s="3" t="inlineStr"/>
      <c r="J126" s="3" t="inlineStr">
        <is>
          <t>Transform -&gt; Identify</t>
        </is>
      </c>
      <c r="K126" s="2">
        <f>COUNTA(G126:I126)</f>
        <v/>
      </c>
      <c r="L126" s="2">
        <f>IF(K126&gt;1,"Composed","Atomic")</f>
        <v/>
      </c>
      <c r="M126" s="4" t="inlineStr">
        <is>
          <t>Pass</t>
        </is>
      </c>
      <c r="N126" s="3" t="inlineStr">
        <is>
          <t>Was Identify alone. Transform step made explicit.</t>
        </is>
      </c>
    </row>
    <row r="127">
      <c r="A127" s="5" t="n">
        <v>126</v>
      </c>
      <c r="B127" s="6" t="inlineStr">
        <is>
          <t>M.6</t>
        </is>
      </c>
      <c r="C127" s="6" t="inlineStr">
        <is>
          <t>Classify a system of equations by graphing</t>
        </is>
      </c>
      <c r="D127" s="6" t="inlineStr">
        <is>
          <t>M</t>
        </is>
      </c>
      <c r="E127" s="6" t="inlineStr">
        <is>
          <t>Systems of linear equations</t>
        </is>
      </c>
      <c r="F127" s="6" t="inlineStr">
        <is>
          <t>Assign to a category using a display</t>
        </is>
      </c>
      <c r="G127" s="6" t="inlineStr">
        <is>
          <t>Represent</t>
        </is>
      </c>
      <c r="H127" s="6" t="inlineStr">
        <is>
          <t>Identify</t>
        </is>
      </c>
      <c r="I127" s="6" t="inlineStr"/>
      <c r="J127" s="6" t="inlineStr">
        <is>
          <t>Represent -&gt; Identify</t>
        </is>
      </c>
      <c r="K127" s="5">
        <f>COUNTA(G127:I127)</f>
        <v/>
      </c>
      <c r="L127" s="5">
        <f>IF(K127&gt;1,"Composed","Atomic")</f>
        <v/>
      </c>
      <c r="M127" s="4" t="inlineStr">
        <is>
          <t>Pass</t>
        </is>
      </c>
      <c r="N127" s="6" t="inlineStr"/>
    </row>
    <row r="128">
      <c r="A128" s="2" t="n">
        <v>127</v>
      </c>
      <c r="B128" s="3" t="inlineStr">
        <is>
          <t>M.7</t>
        </is>
      </c>
      <c r="C128" s="3" t="inlineStr">
        <is>
          <t>Classify a system of equations</t>
        </is>
      </c>
      <c r="D128" s="3" t="inlineStr">
        <is>
          <t>M</t>
        </is>
      </c>
      <c r="E128" s="3" t="inlineStr">
        <is>
          <t>Systems of linear equations</t>
        </is>
      </c>
      <c r="F128" s="3" t="inlineStr">
        <is>
          <t>Assign to a category by its properties</t>
        </is>
      </c>
      <c r="G128" s="3" t="inlineStr">
        <is>
          <t>Transform</t>
        </is>
      </c>
      <c r="H128" s="3" t="inlineStr">
        <is>
          <t>Identify</t>
        </is>
      </c>
      <c r="I128" s="3" t="inlineStr"/>
      <c r="J128" s="3" t="inlineStr">
        <is>
          <t>Transform -&gt; Identify</t>
        </is>
      </c>
      <c r="K128" s="2">
        <f>COUNTA(G128:I128)</f>
        <v/>
      </c>
      <c r="L128" s="2">
        <f>IF(K128&gt;1,"Composed","Atomic")</f>
        <v/>
      </c>
      <c r="M128" s="4" t="inlineStr">
        <is>
          <t>Pass</t>
        </is>
      </c>
      <c r="N128" s="3" t="inlineStr">
        <is>
          <t>Was Identify alone. Transform step made explicit.</t>
        </is>
      </c>
    </row>
    <row r="129">
      <c r="A129" s="5" t="n">
        <v>128</v>
      </c>
      <c r="B129" s="6" t="inlineStr">
        <is>
          <t>M.8</t>
        </is>
      </c>
      <c r="C129" s="6" t="inlineStr">
        <is>
          <t>Solve a system of equations using substitution</t>
        </is>
      </c>
      <c r="D129" s="6" t="inlineStr">
        <is>
          <t>M</t>
        </is>
      </c>
      <c r="E129" s="6" t="inlineStr">
        <is>
          <t>Systems of linear equations</t>
        </is>
      </c>
      <c r="F129" s="6" t="inlineStr">
        <is>
          <t>Find values satisfying simultaneous conditions</t>
        </is>
      </c>
      <c r="G129" s="6" t="inlineStr">
        <is>
          <t>Constrain</t>
        </is>
      </c>
      <c r="H129" s="6" t="inlineStr"/>
      <c r="I129" s="6" t="inlineStr"/>
      <c r="J129" s="6" t="inlineStr">
        <is>
          <t>Constrain</t>
        </is>
      </c>
      <c r="K129" s="5">
        <f>COUNTA(G129:I129)</f>
        <v/>
      </c>
      <c r="L129" s="5">
        <f>IF(K129&gt;1,"Composed","Atomic")</f>
        <v/>
      </c>
      <c r="M129" s="4" t="inlineStr">
        <is>
          <t>Pass</t>
        </is>
      </c>
      <c r="N129" s="6" t="inlineStr"/>
    </row>
    <row r="130">
      <c r="A130" s="2" t="n">
        <v>129</v>
      </c>
      <c r="B130" s="3" t="inlineStr">
        <is>
          <t>M.9</t>
        </is>
      </c>
      <c r="C130" s="3" t="inlineStr">
        <is>
          <t>Solve a system of equations using substitution: word problems</t>
        </is>
      </c>
      <c r="D130" s="3" t="inlineStr">
        <is>
          <t>M</t>
        </is>
      </c>
      <c r="E130" s="3" t="inlineStr">
        <is>
          <t>Systems of linear equations</t>
        </is>
      </c>
      <c r="F130" s="3" t="inlineStr">
        <is>
          <t>Translate, then satisfy simultaneous conditions</t>
        </is>
      </c>
      <c r="G130" s="3" t="inlineStr">
        <is>
          <t>Represent</t>
        </is>
      </c>
      <c r="H130" s="3" t="inlineStr">
        <is>
          <t>Constrain</t>
        </is>
      </c>
      <c r="I130" s="3" t="inlineStr"/>
      <c r="J130" s="3" t="inlineStr">
        <is>
          <t>Represent -&gt; Constrain</t>
        </is>
      </c>
      <c r="K130" s="2">
        <f>COUNTA(G130:I130)</f>
        <v/>
      </c>
      <c r="L130" s="2">
        <f>IF(K130&gt;1,"Composed","Atomic")</f>
        <v/>
      </c>
      <c r="M130" s="4" t="inlineStr">
        <is>
          <t>Pass</t>
        </is>
      </c>
      <c r="N130" s="3" t="inlineStr"/>
    </row>
    <row r="131">
      <c r="A131" s="5" t="n">
        <v>130</v>
      </c>
      <c r="B131" s="6" t="inlineStr">
        <is>
          <t>M.10</t>
        </is>
      </c>
      <c r="C131" s="6" t="inlineStr">
        <is>
          <t>Solve a system of equations using elimination</t>
        </is>
      </c>
      <c r="D131" s="6" t="inlineStr">
        <is>
          <t>M</t>
        </is>
      </c>
      <c r="E131" s="6" t="inlineStr">
        <is>
          <t>Systems of linear equations</t>
        </is>
      </c>
      <c r="F131" s="6" t="inlineStr">
        <is>
          <t>Find values satisfying simultaneous conditions</t>
        </is>
      </c>
      <c r="G131" s="6" t="inlineStr">
        <is>
          <t>Constrain</t>
        </is>
      </c>
      <c r="H131" s="6" t="inlineStr"/>
      <c r="I131" s="6" t="inlineStr"/>
      <c r="J131" s="6" t="inlineStr">
        <is>
          <t>Constrain</t>
        </is>
      </c>
      <c r="K131" s="5">
        <f>COUNTA(G131:I131)</f>
        <v/>
      </c>
      <c r="L131" s="5">
        <f>IF(K131&gt;1,"Composed","Atomic")</f>
        <v/>
      </c>
      <c r="M131" s="4" t="inlineStr">
        <is>
          <t>Pass</t>
        </is>
      </c>
      <c r="N131" s="6" t="inlineStr"/>
    </row>
    <row r="132">
      <c r="A132" s="2" t="n">
        <v>131</v>
      </c>
      <c r="B132" s="3" t="inlineStr">
        <is>
          <t>M.11</t>
        </is>
      </c>
      <c r="C132" s="3" t="inlineStr">
        <is>
          <t>Solve a system of equations using elimination: word problems</t>
        </is>
      </c>
      <c r="D132" s="3" t="inlineStr">
        <is>
          <t>M</t>
        </is>
      </c>
      <c r="E132" s="3" t="inlineStr">
        <is>
          <t>Systems of linear equations</t>
        </is>
      </c>
      <c r="F132" s="3" t="inlineStr">
        <is>
          <t>Translate, then satisfy simultaneous conditions</t>
        </is>
      </c>
      <c r="G132" s="3" t="inlineStr">
        <is>
          <t>Represent</t>
        </is>
      </c>
      <c r="H132" s="3" t="inlineStr">
        <is>
          <t>Constrain</t>
        </is>
      </c>
      <c r="I132" s="3" t="inlineStr"/>
      <c r="J132" s="3" t="inlineStr">
        <is>
          <t>Represent -&gt; Constrain</t>
        </is>
      </c>
      <c r="K132" s="2">
        <f>COUNTA(G132:I132)</f>
        <v/>
      </c>
      <c r="L132" s="2">
        <f>IF(K132&gt;1,"Composed","Atomic")</f>
        <v/>
      </c>
      <c r="M132" s="4" t="inlineStr">
        <is>
          <t>Pass</t>
        </is>
      </c>
      <c r="N132" s="3" t="inlineStr"/>
    </row>
    <row r="133">
      <c r="A133" s="5" t="n">
        <v>132</v>
      </c>
      <c r="B133" s="6" t="inlineStr">
        <is>
          <t>M.12</t>
        </is>
      </c>
      <c r="C133" s="6" t="inlineStr">
        <is>
          <t>Solve a system of equations using any method</t>
        </is>
      </c>
      <c r="D133" s="6" t="inlineStr">
        <is>
          <t>M</t>
        </is>
      </c>
      <c r="E133" s="6" t="inlineStr">
        <is>
          <t>Systems of linear equations</t>
        </is>
      </c>
      <c r="F133" s="6" t="inlineStr">
        <is>
          <t>Find values satisfying simultaneous conditions</t>
        </is>
      </c>
      <c r="G133" s="6" t="inlineStr">
        <is>
          <t>Constrain</t>
        </is>
      </c>
      <c r="H133" s="6" t="inlineStr"/>
      <c r="I133" s="6" t="inlineStr"/>
      <c r="J133" s="6" t="inlineStr">
        <is>
          <t>Constrain</t>
        </is>
      </c>
      <c r="K133" s="5">
        <f>COUNTA(G133:I133)</f>
        <v/>
      </c>
      <c r="L133" s="5">
        <f>IF(K133&gt;1,"Composed","Atomic")</f>
        <v/>
      </c>
      <c r="M133" s="4" t="inlineStr">
        <is>
          <t>Pass</t>
        </is>
      </c>
      <c r="N133" s="6" t="inlineStr"/>
    </row>
    <row r="134">
      <c r="A134" s="2" t="n">
        <v>133</v>
      </c>
      <c r="B134" s="3" t="inlineStr">
        <is>
          <t>M.13</t>
        </is>
      </c>
      <c r="C134" s="3" t="inlineStr">
        <is>
          <t>Solve a system of equations using any method: word problems</t>
        </is>
      </c>
      <c r="D134" s="3" t="inlineStr">
        <is>
          <t>M</t>
        </is>
      </c>
      <c r="E134" s="3" t="inlineStr">
        <is>
          <t>Systems of linear equations</t>
        </is>
      </c>
      <c r="F134" s="3" t="inlineStr">
        <is>
          <t>Translate, then satisfy simultaneous conditions</t>
        </is>
      </c>
      <c r="G134" s="3" t="inlineStr">
        <is>
          <t>Represent</t>
        </is>
      </c>
      <c r="H134" s="3" t="inlineStr">
        <is>
          <t>Constrain</t>
        </is>
      </c>
      <c r="I134" s="3" t="inlineStr"/>
      <c r="J134" s="3" t="inlineStr">
        <is>
          <t>Represent -&gt; Constrain</t>
        </is>
      </c>
      <c r="K134" s="2">
        <f>COUNTA(G134:I134)</f>
        <v/>
      </c>
      <c r="L134" s="2">
        <f>IF(K134&gt;1,"Composed","Atomic")</f>
        <v/>
      </c>
      <c r="M134" s="4" t="inlineStr">
        <is>
          <t>Pass</t>
        </is>
      </c>
      <c r="N134" s="3" t="inlineStr"/>
    </row>
    <row r="135">
      <c r="A135" s="5" t="n">
        <v>134</v>
      </c>
      <c r="B135" s="6" t="inlineStr">
        <is>
          <t>N.1</t>
        </is>
      </c>
      <c r="C135" s="6" t="inlineStr">
        <is>
          <t>Identify monomials</t>
        </is>
      </c>
      <c r="D135" s="6" t="inlineStr">
        <is>
          <t>N</t>
        </is>
      </c>
      <c r="E135" s="6" t="inlineStr">
        <is>
          <t>Monomials</t>
        </is>
      </c>
      <c r="F135" s="6" t="inlineStr">
        <is>
          <t>Assign an object to a category by its properties</t>
        </is>
      </c>
      <c r="G135" s="6" t="inlineStr">
        <is>
          <t>Identify</t>
        </is>
      </c>
      <c r="H135" s="6" t="inlineStr"/>
      <c r="I135" s="6" t="inlineStr"/>
      <c r="J135" s="6" t="inlineStr">
        <is>
          <t>Identify</t>
        </is>
      </c>
      <c r="K135" s="5">
        <f>COUNTA(G135:I135)</f>
        <v/>
      </c>
      <c r="L135" s="5">
        <f>IF(K135&gt;1,"Composed","Atomic")</f>
        <v/>
      </c>
      <c r="M135" s="4" t="inlineStr">
        <is>
          <t>Pass</t>
        </is>
      </c>
      <c r="N135" s="6" t="inlineStr"/>
    </row>
    <row r="136">
      <c r="A136" s="2" t="n">
        <v>135</v>
      </c>
      <c r="B136" s="3" t="inlineStr">
        <is>
          <t>N.2</t>
        </is>
      </c>
      <c r="C136" s="3" t="inlineStr">
        <is>
          <t>Multiply monomials</t>
        </is>
      </c>
      <c r="D136" s="3" t="inlineStr">
        <is>
          <t>N</t>
        </is>
      </c>
      <c r="E136" s="3" t="inlineStr">
        <is>
          <t>Monomials</t>
        </is>
      </c>
      <c r="F136" s="3" t="inlineStr">
        <is>
          <t>Rewrite a product in canonical form</t>
        </is>
      </c>
      <c r="G136" s="3" t="inlineStr">
        <is>
          <t>Transform</t>
        </is>
      </c>
      <c r="H136" s="3" t="inlineStr"/>
      <c r="I136" s="3" t="inlineStr"/>
      <c r="J136" s="3" t="inlineStr">
        <is>
          <t>Transform</t>
        </is>
      </c>
      <c r="K136" s="2">
        <f>COUNTA(G136:I136)</f>
        <v/>
      </c>
      <c r="L136" s="2">
        <f>IF(K136&gt;1,"Composed","Atomic")</f>
        <v/>
      </c>
      <c r="M136" s="4" t="inlineStr">
        <is>
          <t>Pass</t>
        </is>
      </c>
      <c r="N136" s="3" t="inlineStr"/>
    </row>
    <row r="137">
      <c r="A137" s="5" t="n">
        <v>136</v>
      </c>
      <c r="B137" s="6" t="inlineStr">
        <is>
          <t>N.3</t>
        </is>
      </c>
      <c r="C137" s="6" t="inlineStr">
        <is>
          <t>Divide monomials</t>
        </is>
      </c>
      <c r="D137" s="6" t="inlineStr">
        <is>
          <t>N</t>
        </is>
      </c>
      <c r="E137" s="6" t="inlineStr">
        <is>
          <t>Monomials</t>
        </is>
      </c>
      <c r="F137" s="6" t="inlineStr">
        <is>
          <t>Rewrite a quotient in canonical form</t>
        </is>
      </c>
      <c r="G137" s="6" t="inlineStr">
        <is>
          <t>Transform</t>
        </is>
      </c>
      <c r="H137" s="6" t="inlineStr"/>
      <c r="I137" s="6" t="inlineStr"/>
      <c r="J137" s="6" t="inlineStr">
        <is>
          <t>Transform</t>
        </is>
      </c>
      <c r="K137" s="5">
        <f>COUNTA(G137:I137)</f>
        <v/>
      </c>
      <c r="L137" s="5">
        <f>IF(K137&gt;1,"Composed","Atomic")</f>
        <v/>
      </c>
      <c r="M137" s="4" t="inlineStr">
        <is>
          <t>Pass</t>
        </is>
      </c>
      <c r="N137" s="6" t="inlineStr"/>
    </row>
    <row r="138">
      <c r="A138" s="2" t="n">
        <v>137</v>
      </c>
      <c r="B138" s="3" t="inlineStr">
        <is>
          <t>N.4</t>
        </is>
      </c>
      <c r="C138" s="3" t="inlineStr">
        <is>
          <t>Multiply and divide monomials</t>
        </is>
      </c>
      <c r="D138" s="3" t="inlineStr">
        <is>
          <t>N</t>
        </is>
      </c>
      <c r="E138" s="3" t="inlineStr">
        <is>
          <t>Monomials</t>
        </is>
      </c>
      <c r="F138" s="3" t="inlineStr">
        <is>
          <t>Rewrite in canonical form</t>
        </is>
      </c>
      <c r="G138" s="3" t="inlineStr">
        <is>
          <t>Transform</t>
        </is>
      </c>
      <c r="H138" s="3" t="inlineStr"/>
      <c r="I138" s="3" t="inlineStr"/>
      <c r="J138" s="3" t="inlineStr">
        <is>
          <t>Transform</t>
        </is>
      </c>
      <c r="K138" s="2">
        <f>COUNTA(G138:I138)</f>
        <v/>
      </c>
      <c r="L138" s="2">
        <f>IF(K138&gt;1,"Composed","Atomic")</f>
        <v/>
      </c>
      <c r="M138" s="4" t="inlineStr">
        <is>
          <t>Pass</t>
        </is>
      </c>
      <c r="N138" s="3" t="inlineStr"/>
    </row>
    <row r="139">
      <c r="A139" s="5" t="n">
        <v>138</v>
      </c>
      <c r="B139" s="6" t="inlineStr">
        <is>
          <t>N.5</t>
        </is>
      </c>
      <c r="C139" s="6" t="inlineStr">
        <is>
          <t>Powers of monomials</t>
        </is>
      </c>
      <c r="D139" s="6" t="inlineStr">
        <is>
          <t>N</t>
        </is>
      </c>
      <c r="E139" s="6" t="inlineStr">
        <is>
          <t>Monomials</t>
        </is>
      </c>
      <c r="F139" s="6" t="inlineStr">
        <is>
          <t>Rewrite using an equivalent-form rule</t>
        </is>
      </c>
      <c r="G139" s="6" t="inlineStr">
        <is>
          <t>Transform</t>
        </is>
      </c>
      <c r="H139" s="6" t="inlineStr"/>
      <c r="I139" s="6" t="inlineStr"/>
      <c r="J139" s="6" t="inlineStr">
        <is>
          <t>Transform</t>
        </is>
      </c>
      <c r="K139" s="5">
        <f>COUNTA(G139:I139)</f>
        <v/>
      </c>
      <c r="L139" s="5">
        <f>IF(K139&gt;1,"Composed","Atomic")</f>
        <v/>
      </c>
      <c r="M139" s="4" t="inlineStr">
        <is>
          <t>Pass</t>
        </is>
      </c>
      <c r="N139" s="6" t="inlineStr"/>
    </row>
    <row r="140">
      <c r="A140" s="2" t="n">
        <v>139</v>
      </c>
      <c r="B140" s="3" t="inlineStr">
        <is>
          <t>O.1</t>
        </is>
      </c>
      <c r="C140" s="3" t="inlineStr">
        <is>
          <t>Polynomial vocabulary</t>
        </is>
      </c>
      <c r="D140" s="3" t="inlineStr">
        <is>
          <t>O</t>
        </is>
      </c>
      <c r="E140" s="3" t="inlineStr">
        <is>
          <t>Polynomials</t>
        </is>
      </c>
      <c r="F140" s="3" t="inlineStr">
        <is>
          <t>Name parts and categories of a structure</t>
        </is>
      </c>
      <c r="G140" s="3" t="inlineStr">
        <is>
          <t>Identify</t>
        </is>
      </c>
      <c r="H140" s="3" t="inlineStr"/>
      <c r="I140" s="3" t="inlineStr"/>
      <c r="J140" s="3" t="inlineStr">
        <is>
          <t>Identify</t>
        </is>
      </c>
      <c r="K140" s="2">
        <f>COUNTA(G140:I140)</f>
        <v/>
      </c>
      <c r="L140" s="2">
        <f>IF(K140&gt;1,"Composed","Atomic")</f>
        <v/>
      </c>
      <c r="M140" s="4" t="inlineStr">
        <is>
          <t>Pass</t>
        </is>
      </c>
      <c r="N140" s="3" t="inlineStr"/>
    </row>
    <row r="141">
      <c r="A141" s="5" t="n">
        <v>140</v>
      </c>
      <c r="B141" s="6" t="inlineStr">
        <is>
          <t>O.2</t>
        </is>
      </c>
      <c r="C141" s="6" t="inlineStr">
        <is>
          <t>Model polynomials with algebra tiles</t>
        </is>
      </c>
      <c r="D141" s="6" t="inlineStr">
        <is>
          <t>O</t>
        </is>
      </c>
      <c r="E141" s="6" t="inlineStr">
        <is>
          <t>Polynomials</t>
        </is>
      </c>
      <c r="F141" s="6" t="inlineStr">
        <is>
          <t>Move symbols into a concrete representation</t>
        </is>
      </c>
      <c r="G141" s="6" t="inlineStr">
        <is>
          <t>Represent</t>
        </is>
      </c>
      <c r="H141" s="6" t="inlineStr"/>
      <c r="I141" s="6" t="inlineStr"/>
      <c r="J141" s="6" t="inlineStr">
        <is>
          <t>Represent</t>
        </is>
      </c>
      <c r="K141" s="5">
        <f>COUNTA(G141:I141)</f>
        <v/>
      </c>
      <c r="L141" s="5">
        <f>IF(K141&gt;1,"Composed","Atomic")</f>
        <v/>
      </c>
      <c r="M141" s="4" t="inlineStr">
        <is>
          <t>Pass</t>
        </is>
      </c>
      <c r="N141" s="6" t="inlineStr"/>
    </row>
    <row r="142">
      <c r="A142" s="2" t="n">
        <v>141</v>
      </c>
      <c r="B142" s="3" t="inlineStr">
        <is>
          <t>O.3</t>
        </is>
      </c>
      <c r="C142" s="3" t="inlineStr">
        <is>
          <t>Add and subtract polynomials using algebra tiles</t>
        </is>
      </c>
      <c r="D142" s="3" t="inlineStr">
        <is>
          <t>O</t>
        </is>
      </c>
      <c r="E142" s="3" t="inlineStr">
        <is>
          <t>Polynomials</t>
        </is>
      </c>
      <c r="F142" s="3" t="inlineStr">
        <is>
          <t>Combine within a concrete representation</t>
        </is>
      </c>
      <c r="G142" s="3" t="inlineStr">
        <is>
          <t>Represent</t>
        </is>
      </c>
      <c r="H142" s="3" t="inlineStr">
        <is>
          <t>Transform</t>
        </is>
      </c>
      <c r="I142" s="3" t="inlineStr"/>
      <c r="J142" s="3" t="inlineStr">
        <is>
          <t>Represent -&gt; Transform</t>
        </is>
      </c>
      <c r="K142" s="2">
        <f>COUNTA(G142:I142)</f>
        <v/>
      </c>
      <c r="L142" s="2">
        <f>IF(K142&gt;1,"Composed","Atomic")</f>
        <v/>
      </c>
      <c r="M142" s="4" t="inlineStr">
        <is>
          <t>Pass</t>
        </is>
      </c>
      <c r="N142" s="3" t="inlineStr"/>
    </row>
    <row r="143">
      <c r="A143" s="5" t="n">
        <v>142</v>
      </c>
      <c r="B143" s="6" t="inlineStr">
        <is>
          <t>O.4</t>
        </is>
      </c>
      <c r="C143" s="6" t="inlineStr">
        <is>
          <t>Add and subtract polynomials</t>
        </is>
      </c>
      <c r="D143" s="6" t="inlineStr">
        <is>
          <t>O</t>
        </is>
      </c>
      <c r="E143" s="6" t="inlineStr">
        <is>
          <t>Polynomials</t>
        </is>
      </c>
      <c r="F143" s="6" t="inlineStr">
        <is>
          <t>Rewrite a combination in canonical form</t>
        </is>
      </c>
      <c r="G143" s="6" t="inlineStr">
        <is>
          <t>Transform</t>
        </is>
      </c>
      <c r="H143" s="6" t="inlineStr"/>
      <c r="I143" s="6" t="inlineStr"/>
      <c r="J143" s="6" t="inlineStr">
        <is>
          <t>Transform</t>
        </is>
      </c>
      <c r="K143" s="5">
        <f>COUNTA(G143:I143)</f>
        <v/>
      </c>
      <c r="L143" s="5">
        <f>IF(K143&gt;1,"Composed","Atomic")</f>
        <v/>
      </c>
      <c r="M143" s="4" t="inlineStr">
        <is>
          <t>Pass</t>
        </is>
      </c>
      <c r="N143" s="6" t="inlineStr"/>
    </row>
    <row r="144">
      <c r="A144" s="2" t="n">
        <v>143</v>
      </c>
      <c r="B144" s="3" t="inlineStr">
        <is>
          <t>O.5</t>
        </is>
      </c>
      <c r="C144" s="3" t="inlineStr">
        <is>
          <t>Add polynomials to find perimeter</t>
        </is>
      </c>
      <c r="D144" s="3" t="inlineStr">
        <is>
          <t>O</t>
        </is>
      </c>
      <c r="E144" s="3" t="inlineStr">
        <is>
          <t>Polynomials</t>
        </is>
      </c>
      <c r="F144" s="3" t="inlineStr">
        <is>
          <t>Assemble parts into a whole magnitude</t>
        </is>
      </c>
      <c r="G144" s="3" t="inlineStr">
        <is>
          <t>Compose</t>
        </is>
      </c>
      <c r="H144" s="3" t="inlineStr">
        <is>
          <t>Transform</t>
        </is>
      </c>
      <c r="I144" s="3" t="inlineStr"/>
      <c r="J144" s="3" t="inlineStr">
        <is>
          <t>Compose -&gt; Transform</t>
        </is>
      </c>
      <c r="K144" s="2">
        <f>COUNTA(G144:I144)</f>
        <v/>
      </c>
      <c r="L144" s="2">
        <f>IF(K144&gt;1,"Composed","Atomic")</f>
        <v/>
      </c>
      <c r="M144" s="4" t="inlineStr">
        <is>
          <t>Pass</t>
        </is>
      </c>
      <c r="N144" s="3" t="inlineStr">
        <is>
          <t>Was Compose+Measure. Adding the side expressions is Transform.</t>
        </is>
      </c>
    </row>
    <row r="145">
      <c r="A145" s="5" t="n">
        <v>144</v>
      </c>
      <c r="B145" s="6" t="inlineStr">
        <is>
          <t>O.6</t>
        </is>
      </c>
      <c r="C145" s="6" t="inlineStr">
        <is>
          <t>Multiply a polynomial by a monomial</t>
        </is>
      </c>
      <c r="D145" s="6" t="inlineStr">
        <is>
          <t>O</t>
        </is>
      </c>
      <c r="E145" s="6" t="inlineStr">
        <is>
          <t>Polynomials</t>
        </is>
      </c>
      <c r="F145" s="6" t="inlineStr">
        <is>
          <t>Rewrite a product in expanded form</t>
        </is>
      </c>
      <c r="G145" s="6" t="inlineStr">
        <is>
          <t>Transform</t>
        </is>
      </c>
      <c r="H145" s="6" t="inlineStr"/>
      <c r="I145" s="6" t="inlineStr"/>
      <c r="J145" s="6" t="inlineStr">
        <is>
          <t>Transform</t>
        </is>
      </c>
      <c r="K145" s="5">
        <f>COUNTA(G145:I145)</f>
        <v/>
      </c>
      <c r="L145" s="5">
        <f>IF(K145&gt;1,"Composed","Atomic")</f>
        <v/>
      </c>
      <c r="M145" s="4" t="inlineStr">
        <is>
          <t>Pass</t>
        </is>
      </c>
      <c r="N145" s="6" t="inlineStr"/>
    </row>
    <row r="146">
      <c r="A146" s="2" t="n">
        <v>145</v>
      </c>
      <c r="B146" s="3" t="inlineStr">
        <is>
          <t>O.7</t>
        </is>
      </c>
      <c r="C146" s="3" t="inlineStr">
        <is>
          <t>Multiply two polynomials using algebra tiles</t>
        </is>
      </c>
      <c r="D146" s="3" t="inlineStr">
        <is>
          <t>O</t>
        </is>
      </c>
      <c r="E146" s="3" t="inlineStr">
        <is>
          <t>Polynomials</t>
        </is>
      </c>
      <c r="F146" s="3" t="inlineStr">
        <is>
          <t>Expand a product within a concrete model</t>
        </is>
      </c>
      <c r="G146" s="3" t="inlineStr">
        <is>
          <t>Represent</t>
        </is>
      </c>
      <c r="H146" s="3" t="inlineStr">
        <is>
          <t>Transform</t>
        </is>
      </c>
      <c r="I146" s="3" t="inlineStr"/>
      <c r="J146" s="3" t="inlineStr">
        <is>
          <t>Represent -&gt; Transform</t>
        </is>
      </c>
      <c r="K146" s="2">
        <f>COUNTA(G146:I146)</f>
        <v/>
      </c>
      <c r="L146" s="2">
        <f>IF(K146&gt;1,"Composed","Atomic")</f>
        <v/>
      </c>
      <c r="M146" s="4" t="inlineStr">
        <is>
          <t>Pass</t>
        </is>
      </c>
      <c r="N146" s="3" t="inlineStr"/>
    </row>
    <row r="147">
      <c r="A147" s="5" t="n">
        <v>146</v>
      </c>
      <c r="B147" s="6" t="inlineStr">
        <is>
          <t>O.8</t>
        </is>
      </c>
      <c r="C147" s="6" t="inlineStr">
        <is>
          <t>Multiply two binomials</t>
        </is>
      </c>
      <c r="D147" s="6" t="inlineStr">
        <is>
          <t>O</t>
        </is>
      </c>
      <c r="E147" s="6" t="inlineStr">
        <is>
          <t>Polynomials</t>
        </is>
      </c>
      <c r="F147" s="6" t="inlineStr">
        <is>
          <t>Rewrite a product in expanded form</t>
        </is>
      </c>
      <c r="G147" s="6" t="inlineStr">
        <is>
          <t>Transform</t>
        </is>
      </c>
      <c r="H147" s="6" t="inlineStr"/>
      <c r="I147" s="6" t="inlineStr"/>
      <c r="J147" s="6" t="inlineStr">
        <is>
          <t>Transform</t>
        </is>
      </c>
      <c r="K147" s="5">
        <f>COUNTA(G147:I147)</f>
        <v/>
      </c>
      <c r="L147" s="5">
        <f>IF(K147&gt;1,"Composed","Atomic")</f>
        <v/>
      </c>
      <c r="M147" s="4" t="inlineStr">
        <is>
          <t>Pass</t>
        </is>
      </c>
      <c r="N147" s="6" t="inlineStr"/>
    </row>
    <row r="148">
      <c r="A148" s="2" t="n">
        <v>147</v>
      </c>
      <c r="B148" s="3" t="inlineStr">
        <is>
          <t>O.9</t>
        </is>
      </c>
      <c r="C148" s="3" t="inlineStr">
        <is>
          <t>Multiply two binomials: special cases</t>
        </is>
      </c>
      <c r="D148" s="3" t="inlineStr">
        <is>
          <t>O</t>
        </is>
      </c>
      <c r="E148" s="3" t="inlineStr">
        <is>
          <t>Polynomials</t>
        </is>
      </c>
      <c r="F148" s="3" t="inlineStr">
        <is>
          <t>Apply a general pattern to rewrite a product</t>
        </is>
      </c>
      <c r="G148" s="3" t="inlineStr">
        <is>
          <t>Transform</t>
        </is>
      </c>
      <c r="H148" s="3" t="inlineStr"/>
      <c r="I148" s="3" t="inlineStr"/>
      <c r="J148" s="3" t="inlineStr">
        <is>
          <t>Transform</t>
        </is>
      </c>
      <c r="K148" s="2">
        <f>COUNTA(G148:I148)</f>
        <v/>
      </c>
      <c r="L148" s="2">
        <f>IF(K148&gt;1,"Composed","Atomic")</f>
        <v/>
      </c>
      <c r="M148" s="4" t="inlineStr">
        <is>
          <t>Pass</t>
        </is>
      </c>
      <c r="N148" s="3" t="inlineStr">
        <is>
          <t>Was Transform+Generalize. Special-case products are stored patterns, applied not inferred.</t>
        </is>
      </c>
    </row>
    <row r="149">
      <c r="A149" s="5" t="n">
        <v>148</v>
      </c>
      <c r="B149" s="6" t="inlineStr">
        <is>
          <t>O.10</t>
        </is>
      </c>
      <c r="C149" s="6" t="inlineStr">
        <is>
          <t>Multiply polynomials</t>
        </is>
      </c>
      <c r="D149" s="6" t="inlineStr">
        <is>
          <t>O</t>
        </is>
      </c>
      <c r="E149" s="6" t="inlineStr">
        <is>
          <t>Polynomials</t>
        </is>
      </c>
      <c r="F149" s="6" t="inlineStr">
        <is>
          <t>Rewrite a product in expanded form</t>
        </is>
      </c>
      <c r="G149" s="6" t="inlineStr">
        <is>
          <t>Transform</t>
        </is>
      </c>
      <c r="H149" s="6" t="inlineStr"/>
      <c r="I149" s="6" t="inlineStr"/>
      <c r="J149" s="6" t="inlineStr">
        <is>
          <t>Transform</t>
        </is>
      </c>
      <c r="K149" s="5">
        <f>COUNTA(G149:I149)</f>
        <v/>
      </c>
      <c r="L149" s="5">
        <f>IF(K149&gt;1,"Composed","Atomic")</f>
        <v/>
      </c>
      <c r="M149" s="4" t="inlineStr">
        <is>
          <t>Pass</t>
        </is>
      </c>
      <c r="N149" s="6" t="inlineStr"/>
    </row>
    <row r="150">
      <c r="A150" s="2" t="n">
        <v>149</v>
      </c>
      <c r="B150" s="3" t="inlineStr">
        <is>
          <t>P.1</t>
        </is>
      </c>
      <c r="C150" s="3" t="inlineStr">
        <is>
          <t>GCF of monomials</t>
        </is>
      </c>
      <c r="D150" s="3" t="inlineStr">
        <is>
          <t>P</t>
        </is>
      </c>
      <c r="E150" s="3" t="inlineStr">
        <is>
          <t>Factoring</t>
        </is>
      </c>
      <c r="F150" s="3" t="inlineStr">
        <is>
          <t>Break terms into shared components</t>
        </is>
      </c>
      <c r="G150" s="3" t="inlineStr">
        <is>
          <t>Decompose</t>
        </is>
      </c>
      <c r="H150" s="3" t="inlineStr">
        <is>
          <t>Compare</t>
        </is>
      </c>
      <c r="I150" s="3" t="inlineStr"/>
      <c r="J150" s="3" t="inlineStr">
        <is>
          <t>Decompose -&gt; Compare</t>
        </is>
      </c>
      <c r="K150" s="2">
        <f>COUNTA(G150:I150)</f>
        <v/>
      </c>
      <c r="L150" s="2">
        <f>IF(K150&gt;1,"Composed","Atomic")</f>
        <v/>
      </c>
      <c r="M150" s="4" t="inlineStr">
        <is>
          <t>Pass</t>
        </is>
      </c>
      <c r="N150" s="3" t="inlineStr">
        <is>
          <t>Was Decompose alone. Compare step made explicit.</t>
        </is>
      </c>
    </row>
    <row r="151">
      <c r="A151" s="5" t="n">
        <v>150</v>
      </c>
      <c r="B151" s="6" t="inlineStr">
        <is>
          <t>P.2</t>
        </is>
      </c>
      <c r="C151" s="6" t="inlineStr">
        <is>
          <t>Factor out a monomial</t>
        </is>
      </c>
      <c r="D151" s="6" t="inlineStr">
        <is>
          <t>P</t>
        </is>
      </c>
      <c r="E151" s="6" t="inlineStr">
        <is>
          <t>Factoring</t>
        </is>
      </c>
      <c r="F151" s="6" t="inlineStr">
        <is>
          <t>Break a structure into simpler components</t>
        </is>
      </c>
      <c r="G151" s="6" t="inlineStr">
        <is>
          <t>Decompose</t>
        </is>
      </c>
      <c r="H151" s="6" t="inlineStr"/>
      <c r="I151" s="6" t="inlineStr"/>
      <c r="J151" s="6" t="inlineStr">
        <is>
          <t>Decompose</t>
        </is>
      </c>
      <c r="K151" s="5">
        <f>COUNTA(G151:I151)</f>
        <v/>
      </c>
      <c r="L151" s="5">
        <f>IF(K151&gt;1,"Composed","Atomic")</f>
        <v/>
      </c>
      <c r="M151" s="4" t="inlineStr">
        <is>
          <t>Pass</t>
        </is>
      </c>
      <c r="N151" s="6" t="inlineStr"/>
    </row>
    <row r="152">
      <c r="A152" s="2" t="n">
        <v>151</v>
      </c>
      <c r="B152" s="3" t="inlineStr">
        <is>
          <t>P.3</t>
        </is>
      </c>
      <c r="C152" s="3" t="inlineStr">
        <is>
          <t>Factor quadratics with leading coefficient 1</t>
        </is>
      </c>
      <c r="D152" s="3" t="inlineStr">
        <is>
          <t>P</t>
        </is>
      </c>
      <c r="E152" s="3" t="inlineStr">
        <is>
          <t>Factoring</t>
        </is>
      </c>
      <c r="F152" s="3" t="inlineStr">
        <is>
          <t>Break a structure into simpler components</t>
        </is>
      </c>
      <c r="G152" s="3" t="inlineStr">
        <is>
          <t>Decompose</t>
        </is>
      </c>
      <c r="H152" s="3" t="inlineStr"/>
      <c r="I152" s="3" t="inlineStr"/>
      <c r="J152" s="3" t="inlineStr">
        <is>
          <t>Decompose</t>
        </is>
      </c>
      <c r="K152" s="2">
        <f>COUNTA(G152:I152)</f>
        <v/>
      </c>
      <c r="L152" s="2">
        <f>IF(K152&gt;1,"Composed","Atomic")</f>
        <v/>
      </c>
      <c r="M152" s="4" t="inlineStr">
        <is>
          <t>Pass</t>
        </is>
      </c>
      <c r="N152" s="3" t="inlineStr"/>
    </row>
    <row r="153">
      <c r="A153" s="5" t="n">
        <v>152</v>
      </c>
      <c r="B153" s="6" t="inlineStr">
        <is>
          <t>P.4</t>
        </is>
      </c>
      <c r="C153" s="6" t="inlineStr">
        <is>
          <t>Factor quadratics with other leading coefficients</t>
        </is>
      </c>
      <c r="D153" s="6" t="inlineStr">
        <is>
          <t>P</t>
        </is>
      </c>
      <c r="E153" s="6" t="inlineStr">
        <is>
          <t>Factoring</t>
        </is>
      </c>
      <c r="F153" s="6" t="inlineStr">
        <is>
          <t>Break a structure into simpler components</t>
        </is>
      </c>
      <c r="G153" s="6" t="inlineStr">
        <is>
          <t>Decompose</t>
        </is>
      </c>
      <c r="H153" s="6" t="inlineStr"/>
      <c r="I153" s="6" t="inlineStr"/>
      <c r="J153" s="6" t="inlineStr">
        <is>
          <t>Decompose</t>
        </is>
      </c>
      <c r="K153" s="5">
        <f>COUNTA(G153:I153)</f>
        <v/>
      </c>
      <c r="L153" s="5">
        <f>IF(K153&gt;1,"Composed","Atomic")</f>
        <v/>
      </c>
      <c r="M153" s="4" t="inlineStr">
        <is>
          <t>Pass</t>
        </is>
      </c>
      <c r="N153" s="6" t="inlineStr"/>
    </row>
    <row r="154">
      <c r="A154" s="2" t="n">
        <v>153</v>
      </c>
      <c r="B154" s="3" t="inlineStr">
        <is>
          <t>P.5</t>
        </is>
      </c>
      <c r="C154" s="3" t="inlineStr">
        <is>
          <t>Factor quadratics using algebra tiles</t>
        </is>
      </c>
      <c r="D154" s="3" t="inlineStr">
        <is>
          <t>P</t>
        </is>
      </c>
      <c r="E154" s="3" t="inlineStr">
        <is>
          <t>Factoring</t>
        </is>
      </c>
      <c r="F154" s="3" t="inlineStr">
        <is>
          <t>Decompose within a concrete representation</t>
        </is>
      </c>
      <c r="G154" s="3" t="inlineStr">
        <is>
          <t>Represent</t>
        </is>
      </c>
      <c r="H154" s="3" t="inlineStr">
        <is>
          <t>Decompose</t>
        </is>
      </c>
      <c r="I154" s="3" t="inlineStr"/>
      <c r="J154" s="3" t="inlineStr">
        <is>
          <t>Represent -&gt; Decompose</t>
        </is>
      </c>
      <c r="K154" s="2">
        <f>COUNTA(G154:I154)</f>
        <v/>
      </c>
      <c r="L154" s="2">
        <f>IF(K154&gt;1,"Composed","Atomic")</f>
        <v/>
      </c>
      <c r="M154" s="4" t="inlineStr">
        <is>
          <t>Pass</t>
        </is>
      </c>
      <c r="N154" s="3" t="inlineStr"/>
    </row>
    <row r="155">
      <c r="A155" s="5" t="n">
        <v>154</v>
      </c>
      <c r="B155" s="6" t="inlineStr">
        <is>
          <t>P.6</t>
        </is>
      </c>
      <c r="C155" s="6" t="inlineStr">
        <is>
          <t>Factor quadratics: special cases</t>
        </is>
      </c>
      <c r="D155" s="6" t="inlineStr">
        <is>
          <t>P</t>
        </is>
      </c>
      <c r="E155" s="6" t="inlineStr">
        <is>
          <t>Factoring</t>
        </is>
      </c>
      <c r="F155" s="6" t="inlineStr">
        <is>
          <t>Recognize a pattern, then decompose</t>
        </is>
      </c>
      <c r="G155" s="6" t="inlineStr">
        <is>
          <t>Decompose</t>
        </is>
      </c>
      <c r="H155" s="6" t="inlineStr"/>
      <c r="I155" s="6" t="inlineStr"/>
      <c r="J155" s="6" t="inlineStr">
        <is>
          <t>Decompose</t>
        </is>
      </c>
      <c r="K155" s="5">
        <f>COUNTA(G155:I155)</f>
        <v/>
      </c>
      <c r="L155" s="5">
        <f>IF(K155&gt;1,"Composed","Atomic")</f>
        <v/>
      </c>
      <c r="M155" s="4" t="inlineStr">
        <is>
          <t>Pass</t>
        </is>
      </c>
      <c r="N155" s="6" t="inlineStr">
        <is>
          <t>Was Decompose+Identify. Pattern recognition is part of Decompose's rule.</t>
        </is>
      </c>
    </row>
    <row r="156">
      <c r="A156" s="2" t="n">
        <v>155</v>
      </c>
      <c r="B156" s="3" t="inlineStr">
        <is>
          <t>P.7</t>
        </is>
      </c>
      <c r="C156" s="3" t="inlineStr">
        <is>
          <t>Factor by grouping</t>
        </is>
      </c>
      <c r="D156" s="3" t="inlineStr">
        <is>
          <t>P</t>
        </is>
      </c>
      <c r="E156" s="3" t="inlineStr">
        <is>
          <t>Factoring</t>
        </is>
      </c>
      <c r="F156" s="3" t="inlineStr">
        <is>
          <t>Break a structure into simpler components</t>
        </is>
      </c>
      <c r="G156" s="3" t="inlineStr">
        <is>
          <t>Decompose</t>
        </is>
      </c>
      <c r="H156" s="3" t="inlineStr"/>
      <c r="I156" s="3" t="inlineStr"/>
      <c r="J156" s="3" t="inlineStr">
        <is>
          <t>Decompose</t>
        </is>
      </c>
      <c r="K156" s="2">
        <f>COUNTA(G156:I156)</f>
        <v/>
      </c>
      <c r="L156" s="2">
        <f>IF(K156&gt;1,"Composed","Atomic")</f>
        <v/>
      </c>
      <c r="M156" s="4" t="inlineStr">
        <is>
          <t>Pass</t>
        </is>
      </c>
      <c r="N156" s="3" t="inlineStr"/>
    </row>
    <row r="157">
      <c r="A157" s="5" t="n">
        <v>156</v>
      </c>
      <c r="B157" s="6" t="inlineStr">
        <is>
          <t>P.8</t>
        </is>
      </c>
      <c r="C157" s="6" t="inlineStr">
        <is>
          <t>Factor polynomials</t>
        </is>
      </c>
      <c r="D157" s="6" t="inlineStr">
        <is>
          <t>P</t>
        </is>
      </c>
      <c r="E157" s="6" t="inlineStr">
        <is>
          <t>Factoring</t>
        </is>
      </c>
      <c r="F157" s="6" t="inlineStr">
        <is>
          <t>Break a structure into simpler components</t>
        </is>
      </c>
      <c r="G157" s="6" t="inlineStr">
        <is>
          <t>Decompose</t>
        </is>
      </c>
      <c r="H157" s="6" t="inlineStr"/>
      <c r="I157" s="6" t="inlineStr"/>
      <c r="J157" s="6" t="inlineStr">
        <is>
          <t>Decompose</t>
        </is>
      </c>
      <c r="K157" s="5">
        <f>COUNTA(G157:I157)</f>
        <v/>
      </c>
      <c r="L157" s="5">
        <f>IF(K157&gt;1,"Composed","Atomic")</f>
        <v/>
      </c>
      <c r="M157" s="4" t="inlineStr">
        <is>
          <t>Pass</t>
        </is>
      </c>
      <c r="N157" s="6" t="inlineStr"/>
    </row>
    <row r="158">
      <c r="A158" s="2" t="n">
        <v>157</v>
      </c>
      <c r="B158" s="3" t="inlineStr">
        <is>
          <t>Q.1</t>
        </is>
      </c>
      <c r="C158" s="3" t="inlineStr">
        <is>
          <t>Characteristics of quadratic functions</t>
        </is>
      </c>
      <c r="D158" s="3" t="inlineStr">
        <is>
          <t>Q</t>
        </is>
      </c>
      <c r="E158" s="3" t="inlineStr">
        <is>
          <t>Quadratic equations</t>
        </is>
      </c>
      <c r="F158" s="3" t="inlineStr">
        <is>
          <t>Extract defining features of a structure</t>
        </is>
      </c>
      <c r="G158" s="3" t="inlineStr">
        <is>
          <t>Identify</t>
        </is>
      </c>
      <c r="H158" s="3" t="inlineStr"/>
      <c r="I158" s="3" t="inlineStr"/>
      <c r="J158" s="3" t="inlineStr">
        <is>
          <t>Identify</t>
        </is>
      </c>
      <c r="K158" s="2">
        <f>COUNTA(G158:I158)</f>
        <v/>
      </c>
      <c r="L158" s="2">
        <f>IF(K158&gt;1,"Composed","Atomic")</f>
        <v/>
      </c>
      <c r="M158" s="4" t="inlineStr">
        <is>
          <t>Pass</t>
        </is>
      </c>
      <c r="N158" s="3" t="inlineStr"/>
    </row>
    <row r="159">
      <c r="A159" s="5" t="n">
        <v>158</v>
      </c>
      <c r="B159" s="6" t="inlineStr">
        <is>
          <t>Q.2</t>
        </is>
      </c>
      <c r="C159" s="6" t="inlineStr">
        <is>
          <t>Complete a function table: quadratic functions</t>
        </is>
      </c>
      <c r="D159" s="6" t="inlineStr">
        <is>
          <t>Q</t>
        </is>
      </c>
      <c r="E159" s="6" t="inlineStr">
        <is>
          <t>Quadratic equations</t>
        </is>
      </c>
      <c r="F159" s="6" t="inlineStr">
        <is>
          <t>Move a rule across representations</t>
        </is>
      </c>
      <c r="G159" s="6" t="inlineStr">
        <is>
          <t>Transform</t>
        </is>
      </c>
      <c r="H159" s="6" t="inlineStr">
        <is>
          <t>Represent</t>
        </is>
      </c>
      <c r="I159" s="6" t="inlineStr"/>
      <c r="J159" s="6" t="inlineStr">
        <is>
          <t>Transform -&gt; Represent</t>
        </is>
      </c>
      <c r="K159" s="5">
        <f>COUNTA(G159:I159)</f>
        <v/>
      </c>
      <c r="L159" s="5">
        <f>IF(K159&gt;1,"Composed","Atomic")</f>
        <v/>
      </c>
      <c r="M159" s="4" t="inlineStr">
        <is>
          <t>Pass</t>
        </is>
      </c>
      <c r="N159" s="6" t="inlineStr">
        <is>
          <t>Was Represent+Transform. Reordered as J.10.</t>
        </is>
      </c>
    </row>
    <row r="160">
      <c r="A160" s="2" t="n">
        <v>159</v>
      </c>
      <c r="B160" s="3" t="inlineStr">
        <is>
          <t>Q.3</t>
        </is>
      </c>
      <c r="C160" s="3" t="inlineStr">
        <is>
          <t>Solve a quadratic equation using square roots</t>
        </is>
      </c>
      <c r="D160" s="3" t="inlineStr">
        <is>
          <t>Q</t>
        </is>
      </c>
      <c r="E160" s="3" t="inlineStr">
        <is>
          <t>Quadratic equations</t>
        </is>
      </c>
      <c r="F160" s="3" t="inlineStr">
        <is>
          <t>Rewrite, then satisfy a condition</t>
        </is>
      </c>
      <c r="G160" s="3" t="inlineStr">
        <is>
          <t>Transform</t>
        </is>
      </c>
      <c r="H160" s="3" t="inlineStr">
        <is>
          <t>Constrain</t>
        </is>
      </c>
      <c r="I160" s="3" t="inlineStr"/>
      <c r="J160" s="3" t="inlineStr">
        <is>
          <t>Transform -&gt; Constrain</t>
        </is>
      </c>
      <c r="K160" s="2">
        <f>COUNTA(G160:I160)</f>
        <v/>
      </c>
      <c r="L160" s="2">
        <f>IF(K160&gt;1,"Composed","Atomic")</f>
        <v/>
      </c>
      <c r="M160" s="4" t="inlineStr">
        <is>
          <t>Pass</t>
        </is>
      </c>
      <c r="N160" s="3" t="inlineStr"/>
    </row>
    <row r="161">
      <c r="A161" s="5" t="n">
        <v>160</v>
      </c>
      <c r="B161" s="6" t="inlineStr">
        <is>
          <t>Q.4</t>
        </is>
      </c>
      <c r="C161" s="6" t="inlineStr">
        <is>
          <t>Solve a quadratic equation using the zero product property</t>
        </is>
      </c>
      <c r="D161" s="6" t="inlineStr">
        <is>
          <t>Q</t>
        </is>
      </c>
      <c r="E161" s="6" t="inlineStr">
        <is>
          <t>Quadratic equations</t>
        </is>
      </c>
      <c r="F161" s="6" t="inlineStr">
        <is>
          <t>Use factored parts to satisfy a condition</t>
        </is>
      </c>
      <c r="G161" s="6" t="inlineStr">
        <is>
          <t>Constrain</t>
        </is>
      </c>
      <c r="H161" s="6" t="inlineStr"/>
      <c r="I161" s="6" t="inlineStr"/>
      <c r="J161" s="6" t="inlineStr">
        <is>
          <t>Constrain</t>
        </is>
      </c>
      <c r="K161" s="5">
        <f>COUNTA(G161:I161)</f>
        <v/>
      </c>
      <c r="L161" s="5">
        <f>IF(K161&gt;1,"Composed","Atomic")</f>
        <v/>
      </c>
      <c r="M161" s="4" t="inlineStr">
        <is>
          <t>Pass</t>
        </is>
      </c>
      <c r="N161" s="6" t="inlineStr"/>
    </row>
    <row r="162">
      <c r="A162" s="2" t="n">
        <v>161</v>
      </c>
      <c r="B162" s="3" t="inlineStr">
        <is>
          <t>Q.5</t>
        </is>
      </c>
      <c r="C162" s="3" t="inlineStr">
        <is>
          <t>Solve a quadratic equation by factoring</t>
        </is>
      </c>
      <c r="D162" s="3" t="inlineStr">
        <is>
          <t>Q</t>
        </is>
      </c>
      <c r="E162" s="3" t="inlineStr">
        <is>
          <t>Quadratic equations</t>
        </is>
      </c>
      <c r="F162" s="3" t="inlineStr">
        <is>
          <t>Decompose, then satisfy a condition</t>
        </is>
      </c>
      <c r="G162" s="3" t="inlineStr">
        <is>
          <t>Transform</t>
        </is>
      </c>
      <c r="H162" s="3" t="inlineStr">
        <is>
          <t>Decompose</t>
        </is>
      </c>
      <c r="I162" s="3" t="inlineStr">
        <is>
          <t>Constrain</t>
        </is>
      </c>
      <c r="J162" s="3" t="inlineStr">
        <is>
          <t>Transform -&gt; Decompose -&gt; Constrain</t>
        </is>
      </c>
      <c r="K162" s="2">
        <f>COUNTA(G162:I162)</f>
        <v/>
      </c>
      <c r="L162" s="2">
        <f>IF(K162&gt;1,"Composed","Atomic")</f>
        <v/>
      </c>
      <c r="M162" s="4" t="inlineStr">
        <is>
          <t>Pass</t>
        </is>
      </c>
      <c r="N162" s="3" t="inlineStr">
        <is>
          <t>Was Decompose+Constrain. Cap hid a step: Transform -&gt; Decompose -&gt; Constrain.</t>
        </is>
      </c>
    </row>
    <row r="163">
      <c r="A163" s="5" t="n">
        <v>162</v>
      </c>
      <c r="B163" s="6" t="inlineStr">
        <is>
          <t>Q.6</t>
        </is>
      </c>
      <c r="C163" s="6" t="inlineStr">
        <is>
          <t>Complete the square</t>
        </is>
      </c>
      <c r="D163" s="6" t="inlineStr">
        <is>
          <t>Q</t>
        </is>
      </c>
      <c r="E163" s="6" t="inlineStr">
        <is>
          <t>Quadratic equations</t>
        </is>
      </c>
      <c r="F163" s="6" t="inlineStr">
        <is>
          <t>Rewrite into an equivalent canonical form</t>
        </is>
      </c>
      <c r="G163" s="6" t="inlineStr">
        <is>
          <t>Transform</t>
        </is>
      </c>
      <c r="H163" s="6" t="inlineStr"/>
      <c r="I163" s="6" t="inlineStr"/>
      <c r="J163" s="6" t="inlineStr">
        <is>
          <t>Transform</t>
        </is>
      </c>
      <c r="K163" s="5">
        <f>COUNTA(G163:I163)</f>
        <v/>
      </c>
      <c r="L163" s="5">
        <f>IF(K163&gt;1,"Composed","Atomic")</f>
        <v/>
      </c>
      <c r="M163" s="4" t="inlineStr">
        <is>
          <t>Pass</t>
        </is>
      </c>
      <c r="N163" s="6" t="inlineStr"/>
    </row>
    <row r="164">
      <c r="A164" s="2" t="n">
        <v>163</v>
      </c>
      <c r="B164" s="3" t="inlineStr">
        <is>
          <t>Q.7</t>
        </is>
      </c>
      <c r="C164" s="3" t="inlineStr">
        <is>
          <t>Solve a quadratic equation by completing the square</t>
        </is>
      </c>
      <c r="D164" s="3" t="inlineStr">
        <is>
          <t>Q</t>
        </is>
      </c>
      <c r="E164" s="3" t="inlineStr">
        <is>
          <t>Quadratic equations</t>
        </is>
      </c>
      <c r="F164" s="3" t="inlineStr">
        <is>
          <t>Rewrite, then satisfy a condition</t>
        </is>
      </c>
      <c r="G164" s="3" t="inlineStr">
        <is>
          <t>Transform</t>
        </is>
      </c>
      <c r="H164" s="3" t="inlineStr">
        <is>
          <t>Constrain</t>
        </is>
      </c>
      <c r="I164" s="3" t="inlineStr"/>
      <c r="J164" s="3" t="inlineStr">
        <is>
          <t>Transform -&gt; Constrain</t>
        </is>
      </c>
      <c r="K164" s="2">
        <f>COUNTA(G164:I164)</f>
        <v/>
      </c>
      <c r="L164" s="2">
        <f>IF(K164&gt;1,"Composed","Atomic")</f>
        <v/>
      </c>
      <c r="M164" s="4" t="inlineStr">
        <is>
          <t>Pass</t>
        </is>
      </c>
      <c r="N164" s="3" t="inlineStr"/>
    </row>
    <row r="165">
      <c r="A165" s="5" t="n">
        <v>164</v>
      </c>
      <c r="B165" s="6" t="inlineStr">
        <is>
          <t>Q.8</t>
        </is>
      </c>
      <c r="C165" s="6" t="inlineStr">
        <is>
          <t>Solve a quadratic equation using the quadratic formula</t>
        </is>
      </c>
      <c r="D165" s="6" t="inlineStr">
        <is>
          <t>Q</t>
        </is>
      </c>
      <c r="E165" s="6" t="inlineStr">
        <is>
          <t>Quadratic equations</t>
        </is>
      </c>
      <c r="F165" s="6" t="inlineStr">
        <is>
          <t>Find values satisfying a condition</t>
        </is>
      </c>
      <c r="G165" s="6" t="inlineStr">
        <is>
          <t>Constrain</t>
        </is>
      </c>
      <c r="H165" s="6" t="inlineStr"/>
      <c r="I165" s="6" t="inlineStr"/>
      <c r="J165" s="6" t="inlineStr">
        <is>
          <t>Constrain</t>
        </is>
      </c>
      <c r="K165" s="5">
        <f>COUNTA(G165:I165)</f>
        <v/>
      </c>
      <c r="L165" s="5">
        <f>IF(K165&gt;1,"Composed","Atomic")</f>
        <v/>
      </c>
      <c r="M165" s="4" t="inlineStr">
        <is>
          <t>Pass</t>
        </is>
      </c>
      <c r="N165" s="6" t="inlineStr"/>
    </row>
    <row r="166">
      <c r="A166" s="2" t="n">
        <v>165</v>
      </c>
      <c r="B166" s="3" t="inlineStr">
        <is>
          <t>Q.9</t>
        </is>
      </c>
      <c r="C166" s="3" t="inlineStr">
        <is>
          <t>Using the discriminant</t>
        </is>
      </c>
      <c r="D166" s="3" t="inlineStr">
        <is>
          <t>Q</t>
        </is>
      </c>
      <c r="E166" s="3" t="inlineStr">
        <is>
          <t>Quadratic equations</t>
        </is>
      </c>
      <c r="F166" s="3" t="inlineStr">
        <is>
          <t>Quantify a feature to characterize a solution set</t>
        </is>
      </c>
      <c r="G166" s="3" t="inlineStr">
        <is>
          <t>Measure</t>
        </is>
      </c>
      <c r="H166" s="3" t="inlineStr">
        <is>
          <t>Identify</t>
        </is>
      </c>
      <c r="I166" s="3" t="inlineStr"/>
      <c r="J166" s="3" t="inlineStr">
        <is>
          <t>Measure -&gt; Identify</t>
        </is>
      </c>
      <c r="K166" s="2">
        <f>COUNTA(G166:I166)</f>
        <v/>
      </c>
      <c r="L166" s="2">
        <f>IF(K166&gt;1,"Composed","Atomic")</f>
        <v/>
      </c>
      <c r="M166" s="4" t="inlineStr">
        <is>
          <t>Pass</t>
        </is>
      </c>
      <c r="N166" s="3" t="inlineStr">
        <is>
          <t>Was Identify+Measure. Reordered: compute discriminant, then classify.</t>
        </is>
      </c>
    </row>
    <row r="167">
      <c r="A167" s="5" t="n">
        <v>166</v>
      </c>
      <c r="B167" s="6" t="inlineStr">
        <is>
          <t>R.1</t>
        </is>
      </c>
      <c r="C167" s="6" t="inlineStr">
        <is>
          <t>Identify the direction a parabola opens</t>
        </is>
      </c>
      <c r="D167" s="6" t="inlineStr">
        <is>
          <t>R</t>
        </is>
      </c>
      <c r="E167" s="6" t="inlineStr">
        <is>
          <t>Parabolas</t>
        </is>
      </c>
      <c r="F167" s="6" t="inlineStr">
        <is>
          <t>Extract a feature from a structure</t>
        </is>
      </c>
      <c r="G167" s="6" t="inlineStr">
        <is>
          <t>Identify</t>
        </is>
      </c>
      <c r="H167" s="6" t="inlineStr"/>
      <c r="I167" s="6" t="inlineStr"/>
      <c r="J167" s="6" t="inlineStr">
        <is>
          <t>Identify</t>
        </is>
      </c>
      <c r="K167" s="5">
        <f>COUNTA(G167:I167)</f>
        <v/>
      </c>
      <c r="L167" s="5">
        <f>IF(K167&gt;1,"Composed","Atomic")</f>
        <v/>
      </c>
      <c r="M167" s="4" t="inlineStr">
        <is>
          <t>Pass</t>
        </is>
      </c>
      <c r="N167" s="6" t="inlineStr"/>
    </row>
    <row r="168">
      <c r="A168" s="2" t="n">
        <v>167</v>
      </c>
      <c r="B168" s="3" t="inlineStr">
        <is>
          <t>R.2</t>
        </is>
      </c>
      <c r="C168" s="3" t="inlineStr">
        <is>
          <t>Find the vertex of a parabola</t>
        </is>
      </c>
      <c r="D168" s="3" t="inlineStr">
        <is>
          <t>R</t>
        </is>
      </c>
      <c r="E168" s="3" t="inlineStr">
        <is>
          <t>Parabolas</t>
        </is>
      </c>
      <c r="F168" s="3" t="inlineStr">
        <is>
          <t>Locate a defining feature</t>
        </is>
      </c>
      <c r="G168" s="3" t="inlineStr">
        <is>
          <t>Measure</t>
        </is>
      </c>
      <c r="H168" s="3" t="inlineStr"/>
      <c r="I168" s="3" t="inlineStr"/>
      <c r="J168" s="3" t="inlineStr">
        <is>
          <t>Measure</t>
        </is>
      </c>
      <c r="K168" s="2">
        <f>COUNTA(G168:I168)</f>
        <v/>
      </c>
      <c r="L168" s="2">
        <f>IF(K168&gt;1,"Composed","Atomic")</f>
        <v/>
      </c>
      <c r="M168" s="4" t="inlineStr">
        <is>
          <t>Pass</t>
        </is>
      </c>
      <c r="N168" s="3" t="inlineStr">
        <is>
          <t>Was Identify+Measure. -b/2a is a computation; Measure.</t>
        </is>
      </c>
    </row>
    <row r="169">
      <c r="A169" s="5" t="n">
        <v>168</v>
      </c>
      <c r="B169" s="6" t="inlineStr">
        <is>
          <t>R.3</t>
        </is>
      </c>
      <c r="C169" s="6" t="inlineStr">
        <is>
          <t>Find the axis of symmetry of a parabola</t>
        </is>
      </c>
      <c r="D169" s="6" t="inlineStr">
        <is>
          <t>R</t>
        </is>
      </c>
      <c r="E169" s="6" t="inlineStr">
        <is>
          <t>Parabolas</t>
        </is>
      </c>
      <c r="F169" s="6" t="inlineStr">
        <is>
          <t>Locate a defining feature</t>
        </is>
      </c>
      <c r="G169" s="6" t="inlineStr">
        <is>
          <t>Measure</t>
        </is>
      </c>
      <c r="H169" s="6" t="inlineStr"/>
      <c r="I169" s="6" t="inlineStr"/>
      <c r="J169" s="6" t="inlineStr">
        <is>
          <t>Measure</t>
        </is>
      </c>
      <c r="K169" s="5">
        <f>COUNTA(G169:I169)</f>
        <v/>
      </c>
      <c r="L169" s="5">
        <f>IF(K169&gt;1,"Composed","Atomic")</f>
        <v/>
      </c>
      <c r="M169" s="4" t="inlineStr">
        <is>
          <t>Pass</t>
        </is>
      </c>
      <c r="N169" s="6" t="inlineStr">
        <is>
          <t>Was Identify+Measure. Same as R.2.</t>
        </is>
      </c>
    </row>
    <row r="170">
      <c r="A170" s="2" t="n">
        <v>169</v>
      </c>
      <c r="B170" s="3" t="inlineStr">
        <is>
          <t>R.4</t>
        </is>
      </c>
      <c r="C170" s="3" t="inlineStr">
        <is>
          <t>Write equations of parabolas in vertex form from graphs</t>
        </is>
      </c>
      <c r="D170" s="3" t="inlineStr">
        <is>
          <t>R</t>
        </is>
      </c>
      <c r="E170" s="3" t="inlineStr">
        <is>
          <t>Parabolas</t>
        </is>
      </c>
      <c r="F170" s="3" t="inlineStr">
        <is>
          <t>Move a display into symbolic form</t>
        </is>
      </c>
      <c r="G170" s="3" t="inlineStr">
        <is>
          <t>Represent</t>
        </is>
      </c>
      <c r="H170" s="3" t="inlineStr"/>
      <c r="I170" s="3" t="inlineStr"/>
      <c r="J170" s="3" t="inlineStr">
        <is>
          <t>Represent</t>
        </is>
      </c>
      <c r="K170" s="2">
        <f>COUNTA(G170:I170)</f>
        <v/>
      </c>
      <c r="L170" s="2">
        <f>IF(K170&gt;1,"Composed","Atomic")</f>
        <v/>
      </c>
      <c r="M170" s="4" t="inlineStr">
        <is>
          <t>Pass</t>
        </is>
      </c>
      <c r="N170" s="3" t="inlineStr"/>
    </row>
    <row r="171">
      <c r="A171" s="5" t="n">
        <v>170</v>
      </c>
      <c r="B171" s="6" t="inlineStr">
        <is>
          <t>R.5</t>
        </is>
      </c>
      <c r="C171" s="6" t="inlineStr">
        <is>
          <t>Write equations of parabolas in vertex form using properties</t>
        </is>
      </c>
      <c r="D171" s="6" t="inlineStr">
        <is>
          <t>R</t>
        </is>
      </c>
      <c r="E171" s="6" t="inlineStr">
        <is>
          <t>Parabolas</t>
        </is>
      </c>
      <c r="F171" s="6" t="inlineStr">
        <is>
          <t>Build a rule from given features</t>
        </is>
      </c>
      <c r="G171" s="6" t="inlineStr">
        <is>
          <t>Represent</t>
        </is>
      </c>
      <c r="H171" s="6" t="inlineStr"/>
      <c r="I171" s="6" t="inlineStr"/>
      <c r="J171" s="6" t="inlineStr">
        <is>
          <t>Represent</t>
        </is>
      </c>
      <c r="K171" s="5">
        <f>COUNTA(G171:I171)</f>
        <v/>
      </c>
      <c r="L171" s="5">
        <f>IF(K171&gt;1,"Composed","Atomic")</f>
        <v/>
      </c>
      <c r="M171" s="4" t="inlineStr">
        <is>
          <t>Pass</t>
        </is>
      </c>
      <c r="N171" s="6" t="inlineStr">
        <is>
          <t>Was Represent+Generalize. Properties are given; template is applied.</t>
        </is>
      </c>
    </row>
    <row r="172">
      <c r="A172" s="2" t="n">
        <v>171</v>
      </c>
      <c r="B172" s="3" t="inlineStr">
        <is>
          <t>R.6</t>
        </is>
      </c>
      <c r="C172" s="3" t="inlineStr">
        <is>
          <t>Graph parabolas</t>
        </is>
      </c>
      <c r="D172" s="3" t="inlineStr">
        <is>
          <t>R</t>
        </is>
      </c>
      <c r="E172" s="3" t="inlineStr">
        <is>
          <t>Parabolas</t>
        </is>
      </c>
      <c r="F172" s="3" t="inlineStr">
        <is>
          <t>Move symbols into a spatial representation</t>
        </is>
      </c>
      <c r="G172" s="3" t="inlineStr">
        <is>
          <t>Represent</t>
        </is>
      </c>
      <c r="H172" s="3" t="inlineStr"/>
      <c r="I172" s="3" t="inlineStr"/>
      <c r="J172" s="3" t="inlineStr">
        <is>
          <t>Represent</t>
        </is>
      </c>
      <c r="K172" s="2">
        <f>COUNTA(G172:I172)</f>
        <v/>
      </c>
      <c r="L172" s="2">
        <f>IF(K172&gt;1,"Composed","Atomic")</f>
        <v/>
      </c>
      <c r="M172" s="4" t="inlineStr">
        <is>
          <t>Pass</t>
        </is>
      </c>
      <c r="N172" s="3" t="inlineStr"/>
    </row>
    <row r="173">
      <c r="A173" s="5" t="n">
        <v>172</v>
      </c>
      <c r="B173" s="6" t="inlineStr">
        <is>
          <t>S.1</t>
        </is>
      </c>
      <c r="C173" s="6" t="inlineStr">
        <is>
          <t>Identify linear, quadratic and exponential functions from graphs</t>
        </is>
      </c>
      <c r="D173" s="6" t="inlineStr">
        <is>
          <t>S</t>
        </is>
      </c>
      <c r="E173" s="6" t="inlineStr">
        <is>
          <t>Functions: linear, quadratic, exponential</t>
        </is>
      </c>
      <c r="F173" s="6" t="inlineStr">
        <is>
          <t>Distinguish categories by their properties</t>
        </is>
      </c>
      <c r="G173" s="6" t="inlineStr">
        <is>
          <t>Identify</t>
        </is>
      </c>
      <c r="H173" s="6" t="inlineStr"/>
      <c r="I173" s="6" t="inlineStr"/>
      <c r="J173" s="6" t="inlineStr">
        <is>
          <t>Identify</t>
        </is>
      </c>
      <c r="K173" s="5">
        <f>COUNTA(G173:I173)</f>
        <v/>
      </c>
      <c r="L173" s="5">
        <f>IF(K173&gt;1,"Composed","Atomic")</f>
        <v/>
      </c>
      <c r="M173" s="4" t="inlineStr">
        <is>
          <t>Pass</t>
        </is>
      </c>
      <c r="N173" s="6" t="inlineStr">
        <is>
          <t>Was Identify+Compare. Same as Z.10.</t>
        </is>
      </c>
    </row>
    <row r="174">
      <c r="A174" s="2" t="n">
        <v>173</v>
      </c>
      <c r="B174" s="3" t="inlineStr">
        <is>
          <t>S.2</t>
        </is>
      </c>
      <c r="C174" s="3" t="inlineStr">
        <is>
          <t>Identify linear, quadratic and exponential functions from tables</t>
        </is>
      </c>
      <c r="D174" s="3" t="inlineStr">
        <is>
          <t>S</t>
        </is>
      </c>
      <c r="E174" s="3" t="inlineStr">
        <is>
          <t>Functions: linear, quadratic, exponential</t>
        </is>
      </c>
      <c r="F174" s="3" t="inlineStr">
        <is>
          <t>Distinguish categories by their properties</t>
        </is>
      </c>
      <c r="G174" s="3" t="inlineStr">
        <is>
          <t>Identify</t>
        </is>
      </c>
      <c r="H174" s="3" t="inlineStr"/>
      <c r="I174" s="3" t="inlineStr"/>
      <c r="J174" s="3" t="inlineStr">
        <is>
          <t>Identify</t>
        </is>
      </c>
      <c r="K174" s="2">
        <f>COUNTA(G174:I174)</f>
        <v/>
      </c>
      <c r="L174" s="2">
        <f>IF(K174&gt;1,"Composed","Atomic")</f>
        <v/>
      </c>
      <c r="M174" s="4" t="inlineStr">
        <is>
          <t>Pass</t>
        </is>
      </c>
      <c r="N174" s="3" t="inlineStr">
        <is>
          <t>Was Identify+Compare. Same as Z.10.</t>
        </is>
      </c>
    </row>
    <row r="175">
      <c r="A175" s="5" t="n">
        <v>174</v>
      </c>
      <c r="B175" s="6" t="inlineStr">
        <is>
          <t>S.3</t>
        </is>
      </c>
      <c r="C175" s="6" t="inlineStr">
        <is>
          <t>Write linear, quadratic and exponential functions</t>
        </is>
      </c>
      <c r="D175" s="6" t="inlineStr">
        <is>
          <t>S</t>
        </is>
      </c>
      <c r="E175" s="6" t="inlineStr">
        <is>
          <t>Functions: linear, quadratic, exponential</t>
        </is>
      </c>
      <c r="F175" s="6" t="inlineStr">
        <is>
          <t>Infer a general rule from given cases</t>
        </is>
      </c>
      <c r="G175" s="6" t="inlineStr">
        <is>
          <t>Generalize</t>
        </is>
      </c>
      <c r="H175" s="6" t="inlineStr">
        <is>
          <t>Represent</t>
        </is>
      </c>
      <c r="I175" s="6" t="inlineStr"/>
      <c r="J175" s="6" t="inlineStr">
        <is>
          <t>Generalize -&gt; Represent</t>
        </is>
      </c>
      <c r="K175" s="5">
        <f>COUNTA(G175:I175)</f>
        <v/>
      </c>
      <c r="L175" s="5">
        <f>IF(K175&gt;1,"Composed","Atomic")</f>
        <v/>
      </c>
      <c r="M175" s="4" t="inlineStr">
        <is>
          <t>Pass</t>
        </is>
      </c>
      <c r="N175" s="6" t="inlineStr">
        <is>
          <t>Was Generalize+Represent, kept.</t>
        </is>
      </c>
    </row>
    <row r="176">
      <c r="A176" s="2" t="n">
        <v>175</v>
      </c>
      <c r="B176" s="3" t="inlineStr">
        <is>
          <t>S.4</t>
        </is>
      </c>
      <c r="C176" s="3" t="inlineStr">
        <is>
          <t>Linear functions over unit intervals</t>
        </is>
      </c>
      <c r="D176" s="3" t="inlineStr">
        <is>
          <t>S</t>
        </is>
      </c>
      <c r="E176" s="3" t="inlineStr">
        <is>
          <t>Functions: linear, quadratic, exponential</t>
        </is>
      </c>
      <c r="F176" s="3" t="inlineStr">
        <is>
          <t>Quantify change and compare it across intervals</t>
        </is>
      </c>
      <c r="G176" s="3" t="inlineStr">
        <is>
          <t>Measure</t>
        </is>
      </c>
      <c r="H176" s="3" t="inlineStr">
        <is>
          <t>Compare</t>
        </is>
      </c>
      <c r="I176" s="3" t="inlineStr"/>
      <c r="J176" s="3" t="inlineStr">
        <is>
          <t>Measure -&gt; Compare</t>
        </is>
      </c>
      <c r="K176" s="2">
        <f>COUNTA(G176:I176)</f>
        <v/>
      </c>
      <c r="L176" s="2">
        <f>IF(K176&gt;1,"Composed","Atomic")</f>
        <v/>
      </c>
      <c r="M176" s="4" t="inlineStr">
        <is>
          <t>Pass</t>
        </is>
      </c>
      <c r="N176" s="3" t="inlineStr"/>
    </row>
    <row r="177">
      <c r="A177" s="5" t="n">
        <v>176</v>
      </c>
      <c r="B177" s="6" t="inlineStr">
        <is>
          <t>S.5</t>
        </is>
      </c>
      <c r="C177" s="6" t="inlineStr">
        <is>
          <t>Exponential functions over unit intervals</t>
        </is>
      </c>
      <c r="D177" s="6" t="inlineStr">
        <is>
          <t>S</t>
        </is>
      </c>
      <c r="E177" s="6" t="inlineStr">
        <is>
          <t>Functions: linear, quadratic, exponential</t>
        </is>
      </c>
      <c r="F177" s="6" t="inlineStr">
        <is>
          <t>Quantify change and compare it across intervals</t>
        </is>
      </c>
      <c r="G177" s="6" t="inlineStr">
        <is>
          <t>Measure</t>
        </is>
      </c>
      <c r="H177" s="6" t="inlineStr">
        <is>
          <t>Compare</t>
        </is>
      </c>
      <c r="I177" s="6" t="inlineStr"/>
      <c r="J177" s="6" t="inlineStr">
        <is>
          <t>Measure -&gt; Compare</t>
        </is>
      </c>
      <c r="K177" s="5">
        <f>COUNTA(G177:I177)</f>
        <v/>
      </c>
      <c r="L177" s="5">
        <f>IF(K177&gt;1,"Composed","Atomic")</f>
        <v/>
      </c>
      <c r="M177" s="4" t="inlineStr">
        <is>
          <t>Pass</t>
        </is>
      </c>
      <c r="N177" s="6" t="inlineStr"/>
    </row>
    <row r="178">
      <c r="A178" s="2" t="n">
        <v>177</v>
      </c>
      <c r="B178" s="3" t="inlineStr">
        <is>
          <t>S.6</t>
        </is>
      </c>
      <c r="C178" s="3" t="inlineStr">
        <is>
          <t>Describe linear and exponential growth and decay</t>
        </is>
      </c>
      <c r="D178" s="3" t="inlineStr">
        <is>
          <t>S</t>
        </is>
      </c>
      <c r="E178" s="3" t="inlineStr">
        <is>
          <t>Functions: linear, quadratic, exponential</t>
        </is>
      </c>
      <c r="F178" s="3" t="inlineStr">
        <is>
          <t>Characterize a global behaviour pattern</t>
        </is>
      </c>
      <c r="G178" s="3" t="inlineStr">
        <is>
          <t>Identify</t>
        </is>
      </c>
      <c r="H178" s="3" t="inlineStr"/>
      <c r="I178" s="3" t="inlineStr"/>
      <c r="J178" s="3" t="inlineStr">
        <is>
          <t>Identify</t>
        </is>
      </c>
      <c r="K178" s="2">
        <f>COUNTA(G178:I178)</f>
        <v/>
      </c>
      <c r="L178" s="2">
        <f>IF(K178&gt;1,"Composed","Atomic")</f>
        <v/>
      </c>
      <c r="M178" s="4" t="inlineStr">
        <is>
          <t>Pass</t>
        </is>
      </c>
      <c r="N178" s="3" t="inlineStr">
        <is>
          <t>Was Identify+Generalize. Naming a growth pattern is classification.</t>
        </is>
      </c>
    </row>
    <row r="179">
      <c r="A179" s="5" t="n">
        <v>178</v>
      </c>
      <c r="B179" s="6" t="inlineStr">
        <is>
          <t>T.1</t>
        </is>
      </c>
      <c r="C179" s="6" t="inlineStr">
        <is>
          <t>Rational functions: asymptotes and excluded values</t>
        </is>
      </c>
      <c r="D179" s="6" t="inlineStr">
        <is>
          <t>T</t>
        </is>
      </c>
      <c r="E179" s="6" t="inlineStr">
        <is>
          <t>Rational functions and expressions</t>
        </is>
      </c>
      <c r="F179" s="6" t="inlineStr">
        <is>
          <t>Find values a condition forbids or approaches</t>
        </is>
      </c>
      <c r="G179" s="6" t="inlineStr">
        <is>
          <t>Constrain</t>
        </is>
      </c>
      <c r="H179" s="6" t="inlineStr"/>
      <c r="I179" s="6" t="inlineStr"/>
      <c r="J179" s="6" t="inlineStr">
        <is>
          <t>Constrain</t>
        </is>
      </c>
      <c r="K179" s="5">
        <f>COUNTA(G179:I179)</f>
        <v/>
      </c>
      <c r="L179" s="5">
        <f>IF(K179&gt;1,"Composed","Atomic")</f>
        <v/>
      </c>
      <c r="M179" s="4" t="inlineStr">
        <is>
          <t>Pass</t>
        </is>
      </c>
      <c r="N179" s="6" t="inlineStr">
        <is>
          <t>Was Constrain+Identify. Excluded values are the Constrain output; no second step.</t>
        </is>
      </c>
    </row>
    <row r="180">
      <c r="A180" s="2" t="n">
        <v>179</v>
      </c>
      <c r="B180" s="3" t="inlineStr">
        <is>
          <t>T.2</t>
        </is>
      </c>
      <c r="C180" s="3" t="inlineStr">
        <is>
          <t>Simplify complex fractions</t>
        </is>
      </c>
      <c r="D180" s="3" t="inlineStr">
        <is>
          <t>T</t>
        </is>
      </c>
      <c r="E180" s="3" t="inlineStr">
        <is>
          <t>Rational functions and expressions</t>
        </is>
      </c>
      <c r="F180" s="3" t="inlineStr">
        <is>
          <t>Rewrite an equivalent representation</t>
        </is>
      </c>
      <c r="G180" s="3" t="inlineStr">
        <is>
          <t>Transform</t>
        </is>
      </c>
      <c r="H180" s="3" t="inlineStr"/>
      <c r="I180" s="3" t="inlineStr"/>
      <c r="J180" s="3" t="inlineStr">
        <is>
          <t>Transform</t>
        </is>
      </c>
      <c r="K180" s="2">
        <f>COUNTA(G180:I180)</f>
        <v/>
      </c>
      <c r="L180" s="2">
        <f>IF(K180&gt;1,"Composed","Atomic")</f>
        <v/>
      </c>
      <c r="M180" s="4" t="inlineStr">
        <is>
          <t>Pass</t>
        </is>
      </c>
      <c r="N180" s="3" t="inlineStr"/>
    </row>
    <row r="181">
      <c r="A181" s="5" t="n">
        <v>180</v>
      </c>
      <c r="B181" s="6" t="inlineStr">
        <is>
          <t>T.3</t>
        </is>
      </c>
      <c r="C181" s="6" t="inlineStr">
        <is>
          <t>Simplify rational expressions</t>
        </is>
      </c>
      <c r="D181" s="6" t="inlineStr">
        <is>
          <t>T</t>
        </is>
      </c>
      <c r="E181" s="6" t="inlineStr">
        <is>
          <t>Rational functions and expressions</t>
        </is>
      </c>
      <c r="F181" s="6" t="inlineStr">
        <is>
          <t>Decompose, then rewrite in reduced form</t>
        </is>
      </c>
      <c r="G181" s="6" t="inlineStr">
        <is>
          <t>Decompose</t>
        </is>
      </c>
      <c r="H181" s="6" t="inlineStr">
        <is>
          <t>Transform</t>
        </is>
      </c>
      <c r="I181" s="6" t="inlineStr"/>
      <c r="J181" s="6" t="inlineStr">
        <is>
          <t>Decompose -&gt; Transform</t>
        </is>
      </c>
      <c r="K181" s="5">
        <f>COUNTA(G181:I181)</f>
        <v/>
      </c>
      <c r="L181" s="5">
        <f>IF(K181&gt;1,"Composed","Atomic")</f>
        <v/>
      </c>
      <c r="M181" s="4" t="inlineStr">
        <is>
          <t>Pass</t>
        </is>
      </c>
      <c r="N181" s="6" t="inlineStr">
        <is>
          <t>Was Transform+Decompose. Reordered: factor first, then reduce.</t>
        </is>
      </c>
    </row>
    <row r="182">
      <c r="A182" s="2" t="n">
        <v>181</v>
      </c>
      <c r="B182" s="3" t="inlineStr">
        <is>
          <t>T.4</t>
        </is>
      </c>
      <c r="C182" s="3" t="inlineStr">
        <is>
          <t>Multiply and divide rational expressions</t>
        </is>
      </c>
      <c r="D182" s="3" t="inlineStr">
        <is>
          <t>T</t>
        </is>
      </c>
      <c r="E182" s="3" t="inlineStr">
        <is>
          <t>Rational functions and expressions</t>
        </is>
      </c>
      <c r="F182" s="3" t="inlineStr">
        <is>
          <t>Rewrite an equivalent representation</t>
        </is>
      </c>
      <c r="G182" s="3" t="inlineStr">
        <is>
          <t>Transform</t>
        </is>
      </c>
      <c r="H182" s="3" t="inlineStr"/>
      <c r="I182" s="3" t="inlineStr"/>
      <c r="J182" s="3" t="inlineStr">
        <is>
          <t>Transform</t>
        </is>
      </c>
      <c r="K182" s="2">
        <f>COUNTA(G182:I182)</f>
        <v/>
      </c>
      <c r="L182" s="2">
        <f>IF(K182&gt;1,"Composed","Atomic")</f>
        <v/>
      </c>
      <c r="M182" s="4" t="inlineStr">
        <is>
          <t>Pass</t>
        </is>
      </c>
      <c r="N182" s="3" t="inlineStr"/>
    </row>
    <row r="183">
      <c r="A183" s="5" t="n">
        <v>182</v>
      </c>
      <c r="B183" s="6" t="inlineStr">
        <is>
          <t>T.5</t>
        </is>
      </c>
      <c r="C183" s="6" t="inlineStr">
        <is>
          <t>Divide polynomials</t>
        </is>
      </c>
      <c r="D183" s="6" t="inlineStr">
        <is>
          <t>T</t>
        </is>
      </c>
      <c r="E183" s="6" t="inlineStr">
        <is>
          <t>Rational functions and expressions</t>
        </is>
      </c>
      <c r="F183" s="6" t="inlineStr">
        <is>
          <t>Break a structure into quotient and remainder</t>
        </is>
      </c>
      <c r="G183" s="6" t="inlineStr">
        <is>
          <t>Decompose</t>
        </is>
      </c>
      <c r="H183" s="6" t="inlineStr"/>
      <c r="I183" s="6" t="inlineStr"/>
      <c r="J183" s="6" t="inlineStr">
        <is>
          <t>Decompose</t>
        </is>
      </c>
      <c r="K183" s="5">
        <f>COUNTA(G183:I183)</f>
        <v/>
      </c>
      <c r="L183" s="5">
        <f>IF(K183&gt;1,"Composed","Atomic")</f>
        <v/>
      </c>
      <c r="M183" s="4" t="inlineStr">
        <is>
          <t>Pass</t>
        </is>
      </c>
      <c r="N183" s="6" t="inlineStr">
        <is>
          <t>Was Decompose+Transform. Polynomial division is Decompose alone.</t>
        </is>
      </c>
    </row>
    <row r="184">
      <c r="A184" s="2" t="n">
        <v>183</v>
      </c>
      <c r="B184" s="3" t="inlineStr">
        <is>
          <t>T.6</t>
        </is>
      </c>
      <c r="C184" s="3" t="inlineStr">
        <is>
          <t>Add and subtract rational expressions</t>
        </is>
      </c>
      <c r="D184" s="3" t="inlineStr">
        <is>
          <t>T</t>
        </is>
      </c>
      <c r="E184" s="3" t="inlineStr">
        <is>
          <t>Rational functions and expressions</t>
        </is>
      </c>
      <c r="F184" s="3" t="inlineStr">
        <is>
          <t>Rewrite an equivalent representation</t>
        </is>
      </c>
      <c r="G184" s="3" t="inlineStr">
        <is>
          <t>Transform</t>
        </is>
      </c>
      <c r="H184" s="3" t="inlineStr"/>
      <c r="I184" s="3" t="inlineStr"/>
      <c r="J184" s="3" t="inlineStr">
        <is>
          <t>Transform</t>
        </is>
      </c>
      <c r="K184" s="2">
        <f>COUNTA(G184:I184)</f>
        <v/>
      </c>
      <c r="L184" s="2">
        <f>IF(K184&gt;1,"Composed","Atomic")</f>
        <v/>
      </c>
      <c r="M184" s="4" t="inlineStr">
        <is>
          <t>Pass</t>
        </is>
      </c>
      <c r="N184" s="3" t="inlineStr"/>
    </row>
    <row r="185">
      <c r="A185" s="5" t="n">
        <v>184</v>
      </c>
      <c r="B185" s="6" t="inlineStr">
        <is>
          <t>T.7</t>
        </is>
      </c>
      <c r="C185" s="6" t="inlineStr">
        <is>
          <t>Solve rational equations</t>
        </is>
      </c>
      <c r="D185" s="6" t="inlineStr">
        <is>
          <t>T</t>
        </is>
      </c>
      <c r="E185" s="6" t="inlineStr">
        <is>
          <t>Rational functions and expressions</t>
        </is>
      </c>
      <c r="F185" s="6" t="inlineStr">
        <is>
          <t>Find values satisfying a condition</t>
        </is>
      </c>
      <c r="G185" s="6" t="inlineStr">
        <is>
          <t>Transform</t>
        </is>
      </c>
      <c r="H185" s="6" t="inlineStr">
        <is>
          <t>Constrain</t>
        </is>
      </c>
      <c r="I185" s="6" t="inlineStr"/>
      <c r="J185" s="6" t="inlineStr">
        <is>
          <t>Transform -&gt; Constrain</t>
        </is>
      </c>
      <c r="K185" s="5">
        <f>COUNTA(G185:I185)</f>
        <v/>
      </c>
      <c r="L185" s="5">
        <f>IF(K185&gt;1,"Composed","Atomic")</f>
        <v/>
      </c>
      <c r="M185" s="4" t="inlineStr">
        <is>
          <t>Pass</t>
        </is>
      </c>
      <c r="N185" s="6" t="inlineStr">
        <is>
          <t>Was Constrain alone. Transform step made explicit.</t>
        </is>
      </c>
    </row>
    <row r="186">
      <c r="A186" s="2" t="n">
        <v>185</v>
      </c>
      <c r="B186" s="3" t="inlineStr">
        <is>
          <t>U.1</t>
        </is>
      </c>
      <c r="C186" s="3" t="inlineStr">
        <is>
          <t>Find the centre of a circle</t>
        </is>
      </c>
      <c r="D186" s="3" t="inlineStr">
        <is>
          <t>U</t>
        </is>
      </c>
      <c r="E186" s="3" t="inlineStr">
        <is>
          <t>Circles in the coordinate plane</t>
        </is>
      </c>
      <c r="F186" s="3" t="inlineStr">
        <is>
          <t>Extract a defining feature</t>
        </is>
      </c>
      <c r="G186" s="3" t="inlineStr">
        <is>
          <t>Identify</t>
        </is>
      </c>
      <c r="H186" s="3" t="inlineStr"/>
      <c r="I186" s="3" t="inlineStr"/>
      <c r="J186" s="3" t="inlineStr">
        <is>
          <t>Identify</t>
        </is>
      </c>
      <c r="K186" s="2">
        <f>COUNTA(G186:I186)</f>
        <v/>
      </c>
      <c r="L186" s="2">
        <f>IF(K186&gt;1,"Composed","Atomic")</f>
        <v/>
      </c>
      <c r="M186" s="4" t="inlineStr">
        <is>
          <t>Pass</t>
        </is>
      </c>
      <c r="N186" s="3" t="inlineStr"/>
    </row>
    <row r="187">
      <c r="A187" s="5" t="n">
        <v>186</v>
      </c>
      <c r="B187" s="6" t="inlineStr">
        <is>
          <t>U.2</t>
        </is>
      </c>
      <c r="C187" s="6" t="inlineStr">
        <is>
          <t>Find the radius or diameter of a circle</t>
        </is>
      </c>
      <c r="D187" s="6" t="inlineStr">
        <is>
          <t>U</t>
        </is>
      </c>
      <c r="E187" s="6" t="inlineStr">
        <is>
          <t>Circles in the coordinate plane</t>
        </is>
      </c>
      <c r="F187" s="6" t="inlineStr">
        <is>
          <t>Quantify a magnitude of a structure</t>
        </is>
      </c>
      <c r="G187" s="6" t="inlineStr">
        <is>
          <t>Measure</t>
        </is>
      </c>
      <c r="H187" s="6" t="inlineStr"/>
      <c r="I187" s="6" t="inlineStr"/>
      <c r="J187" s="6" t="inlineStr">
        <is>
          <t>Measure</t>
        </is>
      </c>
      <c r="K187" s="5">
        <f>COUNTA(G187:I187)</f>
        <v/>
      </c>
      <c r="L187" s="5">
        <f>IF(K187&gt;1,"Composed","Atomic")</f>
        <v/>
      </c>
      <c r="M187" s="4" t="inlineStr">
        <is>
          <t>Pass</t>
        </is>
      </c>
      <c r="N187" s="6" t="inlineStr"/>
    </row>
    <row r="188">
      <c r="A188" s="2" t="n">
        <v>187</v>
      </c>
      <c r="B188" s="3" t="inlineStr">
        <is>
          <t>U.3</t>
        </is>
      </c>
      <c r="C188" s="3" t="inlineStr">
        <is>
          <t>Write equations of circles in standard form from graphs</t>
        </is>
      </c>
      <c r="D188" s="3" t="inlineStr">
        <is>
          <t>U</t>
        </is>
      </c>
      <c r="E188" s="3" t="inlineStr">
        <is>
          <t>Circles in the coordinate plane</t>
        </is>
      </c>
      <c r="F188" s="3" t="inlineStr">
        <is>
          <t>Move a display into symbolic form</t>
        </is>
      </c>
      <c r="G188" s="3" t="inlineStr">
        <is>
          <t>Represent</t>
        </is>
      </c>
      <c r="H188" s="3" t="inlineStr"/>
      <c r="I188" s="3" t="inlineStr"/>
      <c r="J188" s="3" t="inlineStr">
        <is>
          <t>Represent</t>
        </is>
      </c>
      <c r="K188" s="2">
        <f>COUNTA(G188:I188)</f>
        <v/>
      </c>
      <c r="L188" s="2">
        <f>IF(K188&gt;1,"Composed","Atomic")</f>
        <v/>
      </c>
      <c r="M188" s="4" t="inlineStr">
        <is>
          <t>Pass</t>
        </is>
      </c>
      <c r="N188" s="3" t="inlineStr"/>
    </row>
    <row r="189">
      <c r="A189" s="5" t="n">
        <v>188</v>
      </c>
      <c r="B189" s="6" t="inlineStr">
        <is>
          <t>U.4</t>
        </is>
      </c>
      <c r="C189" s="6" t="inlineStr">
        <is>
          <t>Write equations of circles in standard form using properties</t>
        </is>
      </c>
      <c r="D189" s="6" t="inlineStr">
        <is>
          <t>U</t>
        </is>
      </c>
      <c r="E189" s="6" t="inlineStr">
        <is>
          <t>Circles in the coordinate plane</t>
        </is>
      </c>
      <c r="F189" s="6" t="inlineStr">
        <is>
          <t>Build a rule from given features</t>
        </is>
      </c>
      <c r="G189" s="6" t="inlineStr">
        <is>
          <t>Represent</t>
        </is>
      </c>
      <c r="H189" s="6" t="inlineStr"/>
      <c r="I189" s="6" t="inlineStr"/>
      <c r="J189" s="6" t="inlineStr">
        <is>
          <t>Represent</t>
        </is>
      </c>
      <c r="K189" s="5">
        <f>COUNTA(G189:I189)</f>
        <v/>
      </c>
      <c r="L189" s="5">
        <f>IF(K189&gt;1,"Composed","Atomic")</f>
        <v/>
      </c>
      <c r="M189" s="4" t="inlineStr">
        <is>
          <t>Pass</t>
        </is>
      </c>
      <c r="N189" s="6" t="inlineStr">
        <is>
          <t>Was Represent+Generalize. Same as R.5.</t>
        </is>
      </c>
    </row>
    <row r="190">
      <c r="A190" s="2" t="n">
        <v>189</v>
      </c>
      <c r="B190" s="3" t="inlineStr">
        <is>
          <t>U.5</t>
        </is>
      </c>
      <c r="C190" s="3" t="inlineStr">
        <is>
          <t>Graph circles</t>
        </is>
      </c>
      <c r="D190" s="3" t="inlineStr">
        <is>
          <t>U</t>
        </is>
      </c>
      <c r="E190" s="3" t="inlineStr">
        <is>
          <t>Circles in the coordinate plane</t>
        </is>
      </c>
      <c r="F190" s="3" t="inlineStr">
        <is>
          <t>Move symbols into a spatial representation</t>
        </is>
      </c>
      <c r="G190" s="3" t="inlineStr">
        <is>
          <t>Represent</t>
        </is>
      </c>
      <c r="H190" s="3" t="inlineStr"/>
      <c r="I190" s="3" t="inlineStr"/>
      <c r="J190" s="3" t="inlineStr">
        <is>
          <t>Represent</t>
        </is>
      </c>
      <c r="K190" s="2">
        <f>COUNTA(G190:I190)</f>
        <v/>
      </c>
      <c r="L190" s="2">
        <f>IF(K190&gt;1,"Composed","Atomic")</f>
        <v/>
      </c>
      <c r="M190" s="4" t="inlineStr">
        <is>
          <t>Pass</t>
        </is>
      </c>
      <c r="N190" s="3" t="inlineStr"/>
    </row>
    <row r="191">
      <c r="A191" s="5" t="n">
        <v>190</v>
      </c>
      <c r="B191" s="6" t="inlineStr">
        <is>
          <t>V.1</t>
        </is>
      </c>
      <c r="C191" s="6" t="inlineStr">
        <is>
          <t>Identify hypotheses and conclusions</t>
        </is>
      </c>
      <c r="D191" s="6" t="inlineStr">
        <is>
          <t>V</t>
        </is>
      </c>
      <c r="E191" s="6" t="inlineStr">
        <is>
          <t>Logic</t>
        </is>
      </c>
      <c r="F191" s="6" t="inlineStr">
        <is>
          <t>Split a statement into its parts</t>
        </is>
      </c>
      <c r="G191" s="6" t="inlineStr">
        <is>
          <t>Decompose</t>
        </is>
      </c>
      <c r="H191" s="6" t="inlineStr"/>
      <c r="I191" s="6" t="inlineStr"/>
      <c r="J191" s="6" t="inlineStr">
        <is>
          <t>Decompose</t>
        </is>
      </c>
      <c r="K191" s="5">
        <f>COUNTA(G191:I191)</f>
        <v/>
      </c>
      <c r="L191" s="5">
        <f>IF(K191&gt;1,"Composed","Atomic")</f>
        <v/>
      </c>
      <c r="M191" s="4" t="inlineStr">
        <is>
          <t>Pass</t>
        </is>
      </c>
      <c r="N191" s="6" t="inlineStr">
        <is>
          <t>Was Decompose+Identify. Splitting the statement is the whole act.</t>
        </is>
      </c>
    </row>
    <row r="192">
      <c r="A192" s="2" t="n">
        <v>191</v>
      </c>
      <c r="B192" s="3" t="inlineStr">
        <is>
          <t>V.2</t>
        </is>
      </c>
      <c r="C192" s="3" t="inlineStr">
        <is>
          <t>Counterexamples</t>
        </is>
      </c>
      <c r="D192" s="3" t="inlineStr">
        <is>
          <t>V</t>
        </is>
      </c>
      <c r="E192" s="3" t="inlineStr">
        <is>
          <t>Logic</t>
        </is>
      </c>
      <c r="F192" s="3" t="inlineStr">
        <is>
          <t>Refute a claim by exhibiting a failing case</t>
        </is>
      </c>
      <c r="G192" s="3" t="inlineStr">
        <is>
          <t>Verify</t>
        </is>
      </c>
      <c r="H192" s="3" t="inlineStr"/>
      <c r="I192" s="3" t="inlineStr"/>
      <c r="J192" s="3" t="inlineStr">
        <is>
          <t>Verify</t>
        </is>
      </c>
      <c r="K192" s="2">
        <f>COUNTA(G192:I192)</f>
        <v/>
      </c>
      <c r="L192" s="2">
        <f>IF(K192&gt;1,"Composed","Atomic")</f>
        <v/>
      </c>
      <c r="M192" s="4" t="inlineStr">
        <is>
          <t>Pass</t>
        </is>
      </c>
      <c r="N192" s="3" t="inlineStr"/>
    </row>
    <row r="193">
      <c r="A193" s="5" t="n">
        <v>192</v>
      </c>
      <c r="B193" s="6" t="inlineStr">
        <is>
          <t>V.3</t>
        </is>
      </c>
      <c r="C193" s="6" t="inlineStr">
        <is>
          <t>Truth tables</t>
        </is>
      </c>
      <c r="D193" s="6" t="inlineStr">
        <is>
          <t>V</t>
        </is>
      </c>
      <c r="E193" s="6" t="inlineStr">
        <is>
          <t>Logic</t>
        </is>
      </c>
      <c r="F193" s="6" t="inlineStr">
        <is>
          <t>Move logical structure into a systematic display</t>
        </is>
      </c>
      <c r="G193" s="6" t="inlineStr">
        <is>
          <t>Represent</t>
        </is>
      </c>
      <c r="H193" s="6" t="inlineStr"/>
      <c r="I193" s="6" t="inlineStr"/>
      <c r="J193" s="6" t="inlineStr">
        <is>
          <t>Represent</t>
        </is>
      </c>
      <c r="K193" s="5">
        <f>COUNTA(G193:I193)</f>
        <v/>
      </c>
      <c r="L193" s="5">
        <f>IF(K193&gt;1,"Composed","Atomic")</f>
        <v/>
      </c>
      <c r="M193" s="4" t="inlineStr">
        <is>
          <t>Pass</t>
        </is>
      </c>
      <c r="N193" s="6" t="inlineStr">
        <is>
          <t>Was Represent+Verify. Building the table is Represent.</t>
        </is>
      </c>
    </row>
    <row r="194">
      <c r="A194" s="2" t="n">
        <v>193</v>
      </c>
      <c r="B194" s="3" t="inlineStr">
        <is>
          <t>V.4</t>
        </is>
      </c>
      <c r="C194" s="3" t="inlineStr">
        <is>
          <t>Truth values</t>
        </is>
      </c>
      <c r="D194" s="3" t="inlineStr">
        <is>
          <t>V</t>
        </is>
      </c>
      <c r="E194" s="3" t="inlineStr">
        <is>
          <t>Logic</t>
        </is>
      </c>
      <c r="F194" s="3" t="inlineStr">
        <is>
          <t>Evaluate whether a statement holds</t>
        </is>
      </c>
      <c r="G194" s="3" t="inlineStr">
        <is>
          <t>Verify</t>
        </is>
      </c>
      <c r="H194" s="3" t="inlineStr"/>
      <c r="I194" s="3" t="inlineStr"/>
      <c r="J194" s="3" t="inlineStr">
        <is>
          <t>Verify</t>
        </is>
      </c>
      <c r="K194" s="2">
        <f>COUNTA(G194:I194)</f>
        <v/>
      </c>
      <c r="L194" s="2">
        <f>IF(K194&gt;1,"Composed","Atomic")</f>
        <v/>
      </c>
      <c r="M194" s="4" t="inlineStr">
        <is>
          <t>Pass</t>
        </is>
      </c>
      <c r="N194" s="3" t="inlineStr"/>
    </row>
    <row r="195">
      <c r="A195" s="5" t="n">
        <v>194</v>
      </c>
      <c r="B195" s="6" t="inlineStr">
        <is>
          <t>V.5</t>
        </is>
      </c>
      <c r="C195" s="6" t="inlineStr">
        <is>
          <t>Conditionals</t>
        </is>
      </c>
      <c r="D195" s="6" t="inlineStr">
        <is>
          <t>V</t>
        </is>
      </c>
      <c r="E195" s="6" t="inlineStr">
        <is>
          <t>Logic</t>
        </is>
      </c>
      <c r="F195" s="6" t="inlineStr">
        <is>
          <t>Express a relationship in canonical logical form</t>
        </is>
      </c>
      <c r="G195" s="6" t="inlineStr">
        <is>
          <t>Represent</t>
        </is>
      </c>
      <c r="H195" s="6" t="inlineStr"/>
      <c r="I195" s="6" t="inlineStr"/>
      <c r="J195" s="6" t="inlineStr">
        <is>
          <t>Represent</t>
        </is>
      </c>
      <c r="K195" s="5">
        <f>COUNTA(G195:I195)</f>
        <v/>
      </c>
      <c r="L195" s="5">
        <f>IF(K195&gt;1,"Composed","Atomic")</f>
        <v/>
      </c>
      <c r="M195" s="4" t="inlineStr">
        <is>
          <t>Pass</t>
        </is>
      </c>
      <c r="N195" s="6" t="inlineStr">
        <is>
          <t>Was Represent+Identify. Same as L.18.</t>
        </is>
      </c>
    </row>
    <row r="196">
      <c r="A196" s="2" t="n">
        <v>195</v>
      </c>
      <c r="B196" s="3" t="inlineStr">
        <is>
          <t>V.6</t>
        </is>
      </c>
      <c r="C196" s="3" t="inlineStr">
        <is>
          <t>Negations</t>
        </is>
      </c>
      <c r="D196" s="3" t="inlineStr">
        <is>
          <t>V</t>
        </is>
      </c>
      <c r="E196" s="3" t="inlineStr">
        <is>
          <t>Logic</t>
        </is>
      </c>
      <c r="F196" s="3" t="inlineStr">
        <is>
          <t>Rewrite a statement under an operation</t>
        </is>
      </c>
      <c r="G196" s="3" t="inlineStr">
        <is>
          <t>Transform</t>
        </is>
      </c>
      <c r="H196" s="3" t="inlineStr"/>
      <c r="I196" s="3" t="inlineStr"/>
      <c r="J196" s="3" t="inlineStr">
        <is>
          <t>Transform</t>
        </is>
      </c>
      <c r="K196" s="2">
        <f>COUNTA(G196:I196)</f>
        <v/>
      </c>
      <c r="L196" s="2">
        <f>IF(K196&gt;1,"Composed","Atomic")</f>
        <v/>
      </c>
      <c r="M196" s="4" t="inlineStr">
        <is>
          <t>Pass</t>
        </is>
      </c>
      <c r="N196" s="3" t="inlineStr"/>
    </row>
    <row r="197">
      <c r="A197" s="5" t="n">
        <v>196</v>
      </c>
      <c r="B197" s="6" t="inlineStr">
        <is>
          <t>V.7</t>
        </is>
      </c>
      <c r="C197" s="6" t="inlineStr">
        <is>
          <t>Converses, inverses and contrapositives</t>
        </is>
      </c>
      <c r="D197" s="6" t="inlineStr">
        <is>
          <t>V</t>
        </is>
      </c>
      <c r="E197" s="6" t="inlineStr">
        <is>
          <t>Logic</t>
        </is>
      </c>
      <c r="F197" s="6" t="inlineStr">
        <is>
          <t>Rewrite a statement under structural operations</t>
        </is>
      </c>
      <c r="G197" s="6" t="inlineStr">
        <is>
          <t>Transform</t>
        </is>
      </c>
      <c r="H197" s="6" t="inlineStr"/>
      <c r="I197" s="6" t="inlineStr"/>
      <c r="J197" s="6" t="inlineStr">
        <is>
          <t>Transform</t>
        </is>
      </c>
      <c r="K197" s="5">
        <f>COUNTA(G197:I197)</f>
        <v/>
      </c>
      <c r="L197" s="5">
        <f>IF(K197&gt;1,"Composed","Atomic")</f>
        <v/>
      </c>
      <c r="M197" s="4" t="inlineStr">
        <is>
          <t>Pass</t>
        </is>
      </c>
      <c r="N197" s="6" t="inlineStr"/>
    </row>
    <row r="198">
      <c r="A198" s="2" t="n">
        <v>197</v>
      </c>
      <c r="B198" s="3" t="inlineStr">
        <is>
          <t>V.8</t>
        </is>
      </c>
      <c r="C198" s="3" t="inlineStr">
        <is>
          <t>Biconditionals</t>
        </is>
      </c>
      <c r="D198" s="3" t="inlineStr">
        <is>
          <t>V</t>
        </is>
      </c>
      <c r="E198" s="3" t="inlineStr">
        <is>
          <t>Logic</t>
        </is>
      </c>
      <c r="F198" s="3" t="inlineStr">
        <is>
          <t>Join two conditionals and test them together</t>
        </is>
      </c>
      <c r="G198" s="3" t="inlineStr">
        <is>
          <t>Compose</t>
        </is>
      </c>
      <c r="H198" s="3" t="inlineStr">
        <is>
          <t>Verify</t>
        </is>
      </c>
      <c r="I198" s="3" t="inlineStr"/>
      <c r="J198" s="3" t="inlineStr">
        <is>
          <t>Compose -&gt; Verify</t>
        </is>
      </c>
      <c r="K198" s="2">
        <f>COUNTA(G198:I198)</f>
        <v/>
      </c>
      <c r="L198" s="2">
        <f>IF(K198&gt;1,"Composed","Atomic")</f>
        <v/>
      </c>
      <c r="M198" s="4" t="inlineStr">
        <is>
          <t>Pass</t>
        </is>
      </c>
      <c r="N198" s="3" t="inlineStr">
        <is>
          <t>Was Compose+Verify, kept.</t>
        </is>
      </c>
    </row>
    <row r="199">
      <c r="A199" s="5" t="n">
        <v>198</v>
      </c>
      <c r="B199" s="6" t="inlineStr">
        <is>
          <t>W.1</t>
        </is>
      </c>
      <c r="C199" s="6" t="inlineStr">
        <is>
          <t>Estimate metric measurements</t>
        </is>
      </c>
      <c r="D199" s="6" t="inlineStr">
        <is>
          <t>W</t>
        </is>
      </c>
      <c r="E199" s="6" t="inlineStr">
        <is>
          <t>Measurement</t>
        </is>
      </c>
      <c r="F199" s="6" t="inlineStr">
        <is>
          <t>Assign a plausible magnitude to a quantity</t>
        </is>
      </c>
      <c r="G199" s="6" t="inlineStr">
        <is>
          <t>Measure</t>
        </is>
      </c>
      <c r="H199" s="6" t="inlineStr"/>
      <c r="I199" s="6" t="inlineStr"/>
      <c r="J199" s="6" t="inlineStr">
        <is>
          <t>Measure</t>
        </is>
      </c>
      <c r="K199" s="5">
        <f>COUNTA(G199:I199)</f>
        <v/>
      </c>
      <c r="L199" s="5">
        <f>IF(K199&gt;1,"Composed","Atomic")</f>
        <v/>
      </c>
      <c r="M199" s="4" t="inlineStr">
        <is>
          <t>Pass</t>
        </is>
      </c>
      <c r="N199" s="6" t="inlineStr"/>
    </row>
    <row r="200">
      <c r="A200" s="2" t="n">
        <v>199</v>
      </c>
      <c r="B200" s="3" t="inlineStr">
        <is>
          <t>W.2</t>
        </is>
      </c>
      <c r="C200" s="3" t="inlineStr">
        <is>
          <t>Convert rates and measurements: metric units</t>
        </is>
      </c>
      <c r="D200" s="3" t="inlineStr">
        <is>
          <t>W</t>
        </is>
      </c>
      <c r="E200" s="3" t="inlineStr">
        <is>
          <t>Measurement</t>
        </is>
      </c>
      <c r="F200" s="3" t="inlineStr">
        <is>
          <t>Rewrite a magnitude in another unit</t>
        </is>
      </c>
      <c r="G200" s="3" t="inlineStr">
        <is>
          <t>Transform</t>
        </is>
      </c>
      <c r="H200" s="3" t="inlineStr"/>
      <c r="I200" s="3" t="inlineStr"/>
      <c r="J200" s="3" t="inlineStr">
        <is>
          <t>Transform</t>
        </is>
      </c>
      <c r="K200" s="2">
        <f>COUNTA(G200:I200)</f>
        <v/>
      </c>
      <c r="L200" s="2">
        <f>IF(K200&gt;1,"Composed","Atomic")</f>
        <v/>
      </c>
      <c r="M200" s="4" t="inlineStr">
        <is>
          <t>Pass</t>
        </is>
      </c>
      <c r="N200" s="3" t="inlineStr">
        <is>
          <t>Was Transform+Measure. Unit conversion is Transform alone.</t>
        </is>
      </c>
    </row>
    <row r="201">
      <c r="A201" s="5" t="n">
        <v>200</v>
      </c>
      <c r="B201" s="6" t="inlineStr">
        <is>
          <t>W.3</t>
        </is>
      </c>
      <c r="C201" s="6" t="inlineStr">
        <is>
          <t>Estimate imperial measurements of length</t>
        </is>
      </c>
      <c r="D201" s="6" t="inlineStr">
        <is>
          <t>W</t>
        </is>
      </c>
      <c r="E201" s="6" t="inlineStr">
        <is>
          <t>Measurement</t>
        </is>
      </c>
      <c r="F201" s="6" t="inlineStr">
        <is>
          <t>Assign a plausible magnitude to a quantity</t>
        </is>
      </c>
      <c r="G201" s="6" t="inlineStr">
        <is>
          <t>Measure</t>
        </is>
      </c>
      <c r="H201" s="6" t="inlineStr"/>
      <c r="I201" s="6" t="inlineStr"/>
      <c r="J201" s="6" t="inlineStr">
        <is>
          <t>Measure</t>
        </is>
      </c>
      <c r="K201" s="5">
        <f>COUNTA(G201:I201)</f>
        <v/>
      </c>
      <c r="L201" s="5">
        <f>IF(K201&gt;1,"Composed","Atomic")</f>
        <v/>
      </c>
      <c r="M201" s="4" t="inlineStr">
        <is>
          <t>Pass</t>
        </is>
      </c>
      <c r="N201" s="6" t="inlineStr"/>
    </row>
    <row r="202">
      <c r="A202" s="2" t="n">
        <v>201</v>
      </c>
      <c r="B202" s="3" t="inlineStr">
        <is>
          <t>W.4</t>
        </is>
      </c>
      <c r="C202" s="3" t="inlineStr">
        <is>
          <t>Convert rates and measurements: imperial units of length</t>
        </is>
      </c>
      <c r="D202" s="3" t="inlineStr">
        <is>
          <t>W</t>
        </is>
      </c>
      <c r="E202" s="3" t="inlineStr">
        <is>
          <t>Measurement</t>
        </is>
      </c>
      <c r="F202" s="3" t="inlineStr">
        <is>
          <t>Rewrite a magnitude in another unit</t>
        </is>
      </c>
      <c r="G202" s="3" t="inlineStr">
        <is>
          <t>Transform</t>
        </is>
      </c>
      <c r="H202" s="3" t="inlineStr"/>
      <c r="I202" s="3" t="inlineStr"/>
      <c r="J202" s="3" t="inlineStr">
        <is>
          <t>Transform</t>
        </is>
      </c>
      <c r="K202" s="2">
        <f>COUNTA(G202:I202)</f>
        <v/>
      </c>
      <c r="L202" s="2">
        <f>IF(K202&gt;1,"Composed","Atomic")</f>
        <v/>
      </c>
      <c r="M202" s="4" t="inlineStr">
        <is>
          <t>Pass</t>
        </is>
      </c>
      <c r="N202" s="3" t="inlineStr">
        <is>
          <t>Was Transform+Measure. Same as W.2.</t>
        </is>
      </c>
    </row>
    <row r="203">
      <c r="A203" s="5" t="n">
        <v>202</v>
      </c>
      <c r="B203" s="6" t="inlineStr">
        <is>
          <t>W.5</t>
        </is>
      </c>
      <c r="C203" s="6" t="inlineStr">
        <is>
          <t>Unit rates</t>
        </is>
      </c>
      <c r="D203" s="6" t="inlineStr">
        <is>
          <t>W</t>
        </is>
      </c>
      <c r="E203" s="6" t="inlineStr">
        <is>
          <t>Measurement</t>
        </is>
      </c>
      <c r="F203" s="6" t="inlineStr">
        <is>
          <t>Quantify a ratio as a normalized magnitude</t>
        </is>
      </c>
      <c r="G203" s="6" t="inlineStr">
        <is>
          <t>Measure</t>
        </is>
      </c>
      <c r="H203" s="6" t="inlineStr"/>
      <c r="I203" s="6" t="inlineStr"/>
      <c r="J203" s="6" t="inlineStr">
        <is>
          <t>Measure</t>
        </is>
      </c>
      <c r="K203" s="5">
        <f>COUNTA(G203:I203)</f>
        <v/>
      </c>
      <c r="L203" s="5">
        <f>IF(K203&gt;1,"Composed","Atomic")</f>
        <v/>
      </c>
      <c r="M203" s="4" t="inlineStr">
        <is>
          <t>Pass</t>
        </is>
      </c>
      <c r="N203" s="6" t="inlineStr"/>
    </row>
    <row r="204">
      <c r="A204" s="2" t="n">
        <v>203</v>
      </c>
      <c r="B204" s="3" t="inlineStr">
        <is>
          <t>W.6</t>
        </is>
      </c>
      <c r="C204" s="3" t="inlineStr">
        <is>
          <t>Unit prices with imperial length conversions</t>
        </is>
      </c>
      <c r="D204" s="3" t="inlineStr">
        <is>
          <t>W</t>
        </is>
      </c>
      <c r="E204" s="3" t="inlineStr">
        <is>
          <t>Measurement</t>
        </is>
      </c>
      <c r="F204" s="3" t="inlineStr">
        <is>
          <t>Rewrite units, then quantify a rate</t>
        </is>
      </c>
      <c r="G204" s="3" t="inlineStr">
        <is>
          <t>Transform</t>
        </is>
      </c>
      <c r="H204" s="3" t="inlineStr">
        <is>
          <t>Measure</t>
        </is>
      </c>
      <c r="I204" s="3" t="inlineStr"/>
      <c r="J204" s="3" t="inlineStr">
        <is>
          <t>Transform -&gt; Measure</t>
        </is>
      </c>
      <c r="K204" s="2">
        <f>COUNTA(G204:I204)</f>
        <v/>
      </c>
      <c r="L204" s="2">
        <f>IF(K204&gt;1,"Composed","Atomic")</f>
        <v/>
      </c>
      <c r="M204" s="4" t="inlineStr">
        <is>
          <t>Pass</t>
        </is>
      </c>
      <c r="N204" s="3" t="inlineStr">
        <is>
          <t>Was Transform+Measure, kept, order made explicit.</t>
        </is>
      </c>
    </row>
    <row r="205">
      <c r="A205" s="5" t="n">
        <v>204</v>
      </c>
      <c r="B205" s="6" t="inlineStr">
        <is>
          <t>W.7</t>
        </is>
      </c>
      <c r="C205" s="6" t="inlineStr">
        <is>
          <t>Mixed imperial units of length</t>
        </is>
      </c>
      <c r="D205" s="6" t="inlineStr">
        <is>
          <t>W</t>
        </is>
      </c>
      <c r="E205" s="6" t="inlineStr">
        <is>
          <t>Measurement</t>
        </is>
      </c>
      <c r="F205" s="6" t="inlineStr">
        <is>
          <t>Rewrite a magnitude in another unit</t>
        </is>
      </c>
      <c r="G205" s="6" t="inlineStr">
        <is>
          <t>Transform</t>
        </is>
      </c>
      <c r="H205" s="6" t="inlineStr"/>
      <c r="I205" s="6" t="inlineStr"/>
      <c r="J205" s="6" t="inlineStr">
        <is>
          <t>Transform</t>
        </is>
      </c>
      <c r="K205" s="5">
        <f>COUNTA(G205:I205)</f>
        <v/>
      </c>
      <c r="L205" s="5">
        <f>IF(K205&gt;1,"Composed","Atomic")</f>
        <v/>
      </c>
      <c r="M205" s="4" t="inlineStr">
        <is>
          <t>Pass</t>
        </is>
      </c>
      <c r="N205" s="6" t="inlineStr">
        <is>
          <t>Was Transform+Measure. Same as W.2.</t>
        </is>
      </c>
    </row>
    <row r="206">
      <c r="A206" s="2" t="n">
        <v>205</v>
      </c>
      <c r="B206" s="3" t="inlineStr">
        <is>
          <t>W.8</t>
        </is>
      </c>
      <c r="C206" s="3" t="inlineStr">
        <is>
          <t>Convert between metric and imperial units of length</t>
        </is>
      </c>
      <c r="D206" s="3" t="inlineStr">
        <is>
          <t>W</t>
        </is>
      </c>
      <c r="E206" s="3" t="inlineStr">
        <is>
          <t>Measurement</t>
        </is>
      </c>
      <c r="F206" s="3" t="inlineStr">
        <is>
          <t>Rewrite a magnitude in another unit</t>
        </is>
      </c>
      <c r="G206" s="3" t="inlineStr">
        <is>
          <t>Transform</t>
        </is>
      </c>
      <c r="H206" s="3" t="inlineStr"/>
      <c r="I206" s="3" t="inlineStr"/>
      <c r="J206" s="3" t="inlineStr">
        <is>
          <t>Transform</t>
        </is>
      </c>
      <c r="K206" s="2">
        <f>COUNTA(G206:I206)</f>
        <v/>
      </c>
      <c r="L206" s="2">
        <f>IF(K206&gt;1,"Composed","Atomic")</f>
        <v/>
      </c>
      <c r="M206" s="4" t="inlineStr">
        <is>
          <t>Pass</t>
        </is>
      </c>
      <c r="N206" s="3" t="inlineStr">
        <is>
          <t>Was Transform+Measure. Same as W.2.</t>
        </is>
      </c>
    </row>
    <row r="207">
      <c r="A207" s="5" t="n">
        <v>206</v>
      </c>
      <c r="B207" s="6" t="inlineStr">
        <is>
          <t>W.9</t>
        </is>
      </c>
      <c r="C207" s="6" t="inlineStr">
        <is>
          <t>Scale drawings: word problems</t>
        </is>
      </c>
      <c r="D207" s="6" t="inlineStr">
        <is>
          <t>W</t>
        </is>
      </c>
      <c r="E207" s="6" t="inlineStr">
        <is>
          <t>Measurement</t>
        </is>
      </c>
      <c r="F207" s="6" t="inlineStr">
        <is>
          <t>Map a scaled representation to real magnitudes</t>
        </is>
      </c>
      <c r="G207" s="6" t="inlineStr">
        <is>
          <t>Represent</t>
        </is>
      </c>
      <c r="H207" s="6" t="inlineStr">
        <is>
          <t>Measure</t>
        </is>
      </c>
      <c r="I207" s="6" t="inlineStr"/>
      <c r="J207" s="6" t="inlineStr">
        <is>
          <t>Represent -&gt; Measure</t>
        </is>
      </c>
      <c r="K207" s="5">
        <f>COUNTA(G207:I207)</f>
        <v/>
      </c>
      <c r="L207" s="5">
        <f>IF(K207&gt;1,"Composed","Atomic")</f>
        <v/>
      </c>
      <c r="M207" s="4" t="inlineStr">
        <is>
          <t>Pass</t>
        </is>
      </c>
      <c r="N207" s="6" t="inlineStr">
        <is>
          <t>Was Represent+Measure, kept.</t>
        </is>
      </c>
    </row>
    <row r="208">
      <c r="A208" s="2" t="n">
        <v>207</v>
      </c>
      <c r="B208" s="3" t="inlineStr">
        <is>
          <t>X.1</t>
        </is>
      </c>
      <c r="C208" s="3" t="inlineStr">
        <is>
          <t>Construct an angle bisector</t>
        </is>
      </c>
      <c r="D208" s="3" t="inlineStr">
        <is>
          <t>X</t>
        </is>
      </c>
      <c r="E208" s="3" t="inlineStr">
        <is>
          <t>Constructions</t>
        </is>
      </c>
      <c r="F208" s="3" t="inlineStr">
        <is>
          <t>Build a figure meeting stated conditions</t>
        </is>
      </c>
      <c r="G208" s="3" t="inlineStr">
        <is>
          <t>Compose</t>
        </is>
      </c>
      <c r="H208" s="3" t="inlineStr"/>
      <c r="I208" s="3" t="inlineStr"/>
      <c r="J208" s="3" t="inlineStr">
        <is>
          <t>Compose</t>
        </is>
      </c>
      <c r="K208" s="2">
        <f>COUNTA(G208:I208)</f>
        <v/>
      </c>
      <c r="L208" s="2">
        <f>IF(K208&gt;1,"Composed","Atomic")</f>
        <v/>
      </c>
      <c r="M208" s="4" t="inlineStr">
        <is>
          <t>Pass</t>
        </is>
      </c>
      <c r="N208" s="3" t="inlineStr"/>
    </row>
    <row r="209">
      <c r="A209" s="5" t="n">
        <v>208</v>
      </c>
      <c r="B209" s="6" t="inlineStr">
        <is>
          <t>X.2</t>
        </is>
      </c>
      <c r="C209" s="6" t="inlineStr">
        <is>
          <t>Construct a congruent angle</t>
        </is>
      </c>
      <c r="D209" s="6" t="inlineStr">
        <is>
          <t>X</t>
        </is>
      </c>
      <c r="E209" s="6" t="inlineStr">
        <is>
          <t>Constructions</t>
        </is>
      </c>
      <c r="F209" s="6" t="inlineStr">
        <is>
          <t>Build a figure meeting stated conditions</t>
        </is>
      </c>
      <c r="G209" s="6" t="inlineStr">
        <is>
          <t>Compose</t>
        </is>
      </c>
      <c r="H209" s="6" t="inlineStr"/>
      <c r="I209" s="6" t="inlineStr"/>
      <c r="J209" s="6" t="inlineStr">
        <is>
          <t>Compose</t>
        </is>
      </c>
      <c r="K209" s="5">
        <f>COUNTA(G209:I209)</f>
        <v/>
      </c>
      <c r="L209" s="5">
        <f>IF(K209&gt;1,"Composed","Atomic")</f>
        <v/>
      </c>
      <c r="M209" s="4" t="inlineStr">
        <is>
          <t>Pass</t>
        </is>
      </c>
      <c r="N209" s="6" t="inlineStr"/>
    </row>
    <row r="210">
      <c r="A210" s="2" t="n">
        <v>209</v>
      </c>
      <c r="B210" s="3" t="inlineStr">
        <is>
          <t>Y.1</t>
        </is>
      </c>
      <c r="C210" s="3" t="inlineStr">
        <is>
          <t>Polygon vocabulary</t>
        </is>
      </c>
      <c r="D210" s="3" t="inlineStr">
        <is>
          <t>Y</t>
        </is>
      </c>
      <c r="E210" s="3" t="inlineStr">
        <is>
          <t>Two-dimensional figures</t>
        </is>
      </c>
      <c r="F210" s="3" t="inlineStr">
        <is>
          <t>Name parts and categories of a structure</t>
        </is>
      </c>
      <c r="G210" s="3" t="inlineStr">
        <is>
          <t>Identify</t>
        </is>
      </c>
      <c r="H210" s="3" t="inlineStr"/>
      <c r="I210" s="3" t="inlineStr"/>
      <c r="J210" s="3" t="inlineStr">
        <is>
          <t>Identify</t>
        </is>
      </c>
      <c r="K210" s="2">
        <f>COUNTA(G210:I210)</f>
        <v/>
      </c>
      <c r="L210" s="2">
        <f>IF(K210&gt;1,"Composed","Atomic")</f>
        <v/>
      </c>
      <c r="M210" s="4" t="inlineStr">
        <is>
          <t>Pass</t>
        </is>
      </c>
      <c r="N210" s="3" t="inlineStr"/>
    </row>
    <row r="211">
      <c r="A211" s="5" t="n">
        <v>210</v>
      </c>
      <c r="B211" s="6" t="inlineStr">
        <is>
          <t>Y.2</t>
        </is>
      </c>
      <c r="C211" s="6" t="inlineStr">
        <is>
          <t>Interior angles of polygons</t>
        </is>
      </c>
      <c r="D211" s="6" t="inlineStr">
        <is>
          <t>Y</t>
        </is>
      </c>
      <c r="E211" s="6" t="inlineStr">
        <is>
          <t>Two-dimensional figures</t>
        </is>
      </c>
      <c r="F211" s="6" t="inlineStr">
        <is>
          <t>Apply a general rule to quantify angles</t>
        </is>
      </c>
      <c r="G211" s="6" t="inlineStr">
        <is>
          <t>Measure</t>
        </is>
      </c>
      <c r="H211" s="6" t="inlineStr"/>
      <c r="I211" s="6" t="inlineStr"/>
      <c r="J211" s="6" t="inlineStr">
        <is>
          <t>Measure</t>
        </is>
      </c>
      <c r="K211" s="5">
        <f>COUNTA(G211:I211)</f>
        <v/>
      </c>
      <c r="L211" s="5">
        <f>IF(K211&gt;1,"Composed","Atomic")</f>
        <v/>
      </c>
      <c r="M211" s="4" t="inlineStr">
        <is>
          <t>Pass</t>
        </is>
      </c>
      <c r="N211" s="6" t="inlineStr">
        <is>
          <t>Was Measure+Generalize. (n-2)x180 is Measure's formula, not an act of generalization.</t>
        </is>
      </c>
    </row>
    <row r="212">
      <c r="A212" s="2" t="n">
        <v>211</v>
      </c>
      <c r="B212" s="3" t="inlineStr">
        <is>
          <t>Y.3</t>
        </is>
      </c>
      <c r="C212" s="3" t="inlineStr">
        <is>
          <t>Perimeter</t>
        </is>
      </c>
      <c r="D212" s="3" t="inlineStr">
        <is>
          <t>Y</t>
        </is>
      </c>
      <c r="E212" s="3" t="inlineStr">
        <is>
          <t>Two-dimensional figures</t>
        </is>
      </c>
      <c r="F212" s="3" t="inlineStr">
        <is>
          <t>Quantify a magnitude of a figure</t>
        </is>
      </c>
      <c r="G212" s="3" t="inlineStr">
        <is>
          <t>Measure</t>
        </is>
      </c>
      <c r="H212" s="3" t="inlineStr"/>
      <c r="I212" s="3" t="inlineStr"/>
      <c r="J212" s="3" t="inlineStr">
        <is>
          <t>Measure</t>
        </is>
      </c>
      <c r="K212" s="2">
        <f>COUNTA(G212:I212)</f>
        <v/>
      </c>
      <c r="L212" s="2">
        <f>IF(K212&gt;1,"Composed","Atomic")</f>
        <v/>
      </c>
      <c r="M212" s="4" t="inlineStr">
        <is>
          <t>Pass</t>
        </is>
      </c>
      <c r="N212" s="3" t="inlineStr"/>
    </row>
    <row r="213">
      <c r="A213" s="5" t="n">
        <v>212</v>
      </c>
      <c r="B213" s="6" t="inlineStr">
        <is>
          <t>Y.4</t>
        </is>
      </c>
      <c r="C213" s="6" t="inlineStr">
        <is>
          <t>Area of triangles and quadrilaterals</t>
        </is>
      </c>
      <c r="D213" s="6" t="inlineStr">
        <is>
          <t>Y</t>
        </is>
      </c>
      <c r="E213" s="6" t="inlineStr">
        <is>
          <t>Two-dimensional figures</t>
        </is>
      </c>
      <c r="F213" s="6" t="inlineStr">
        <is>
          <t>Quantify a magnitude of a figure</t>
        </is>
      </c>
      <c r="G213" s="6" t="inlineStr">
        <is>
          <t>Measure</t>
        </is>
      </c>
      <c r="H213" s="6" t="inlineStr"/>
      <c r="I213" s="6" t="inlineStr"/>
      <c r="J213" s="6" t="inlineStr">
        <is>
          <t>Measure</t>
        </is>
      </c>
      <c r="K213" s="5">
        <f>COUNTA(G213:I213)</f>
        <v/>
      </c>
      <c r="L213" s="5">
        <f>IF(K213&gt;1,"Composed","Atomic")</f>
        <v/>
      </c>
      <c r="M213" s="4" t="inlineStr">
        <is>
          <t>Pass</t>
        </is>
      </c>
      <c r="N213" s="6" t="inlineStr"/>
    </row>
    <row r="214">
      <c r="A214" s="2" t="n">
        <v>213</v>
      </c>
      <c r="B214" s="3" t="inlineStr">
        <is>
          <t>Y.5</t>
        </is>
      </c>
      <c r="C214" s="3" t="inlineStr">
        <is>
          <t>Area and perimeter in the coordinate plane I</t>
        </is>
      </c>
      <c r="D214" s="3" t="inlineStr">
        <is>
          <t>Y</t>
        </is>
      </c>
      <c r="E214" s="3" t="inlineStr">
        <is>
          <t>Two-dimensional figures</t>
        </is>
      </c>
      <c r="F214" s="3" t="inlineStr">
        <is>
          <t>Read a figure from coordinates, then quantify</t>
        </is>
      </c>
      <c r="G214" s="3" t="inlineStr">
        <is>
          <t>Represent</t>
        </is>
      </c>
      <c r="H214" s="3" t="inlineStr">
        <is>
          <t>Measure</t>
        </is>
      </c>
      <c r="I214" s="3" t="inlineStr"/>
      <c r="J214" s="3" t="inlineStr">
        <is>
          <t>Represent -&gt; Measure</t>
        </is>
      </c>
      <c r="K214" s="2">
        <f>COUNTA(G214:I214)</f>
        <v/>
      </c>
      <c r="L214" s="2">
        <f>IF(K214&gt;1,"Composed","Atomic")</f>
        <v/>
      </c>
      <c r="M214" s="4" t="inlineStr">
        <is>
          <t>Pass</t>
        </is>
      </c>
      <c r="N214" s="3" t="inlineStr"/>
    </row>
    <row r="215">
      <c r="A215" s="5" t="n">
        <v>214</v>
      </c>
      <c r="B215" s="6" t="inlineStr">
        <is>
          <t>Y.6</t>
        </is>
      </c>
      <c r="C215" s="6" t="inlineStr">
        <is>
          <t>Area and perimeter in the coordinate plane II</t>
        </is>
      </c>
      <c r="D215" s="6" t="inlineStr">
        <is>
          <t>Y</t>
        </is>
      </c>
      <c r="E215" s="6" t="inlineStr">
        <is>
          <t>Two-dimensional figures</t>
        </is>
      </c>
      <c r="F215" s="6" t="inlineStr">
        <is>
          <t>Read a figure from coordinates, then quantify</t>
        </is>
      </c>
      <c r="G215" s="6" t="inlineStr">
        <is>
          <t>Represent</t>
        </is>
      </c>
      <c r="H215" s="6" t="inlineStr">
        <is>
          <t>Measure</t>
        </is>
      </c>
      <c r="I215" s="6" t="inlineStr"/>
      <c r="J215" s="6" t="inlineStr">
        <is>
          <t>Represent -&gt; Measure</t>
        </is>
      </c>
      <c r="K215" s="5">
        <f>COUNTA(G215:I215)</f>
        <v/>
      </c>
      <c r="L215" s="5">
        <f>IF(K215&gt;1,"Composed","Atomic")</f>
        <v/>
      </c>
      <c r="M215" s="4" t="inlineStr">
        <is>
          <t>Pass</t>
        </is>
      </c>
      <c r="N215" s="6" t="inlineStr"/>
    </row>
    <row r="216">
      <c r="A216" s="2" t="n">
        <v>215</v>
      </c>
      <c r="B216" s="3" t="inlineStr">
        <is>
          <t>Y.7</t>
        </is>
      </c>
      <c r="C216" s="3" t="inlineStr">
        <is>
          <t>Area and circumference of circles</t>
        </is>
      </c>
      <c r="D216" s="3" t="inlineStr">
        <is>
          <t>Y</t>
        </is>
      </c>
      <c r="E216" s="3" t="inlineStr">
        <is>
          <t>Two-dimensional figures</t>
        </is>
      </c>
      <c r="F216" s="3" t="inlineStr">
        <is>
          <t>Quantify a magnitude of a figure</t>
        </is>
      </c>
      <c r="G216" s="3" t="inlineStr">
        <is>
          <t>Measure</t>
        </is>
      </c>
      <c r="H216" s="3" t="inlineStr"/>
      <c r="I216" s="3" t="inlineStr"/>
      <c r="J216" s="3" t="inlineStr">
        <is>
          <t>Measure</t>
        </is>
      </c>
      <c r="K216" s="2">
        <f>COUNTA(G216:I216)</f>
        <v/>
      </c>
      <c r="L216" s="2">
        <f>IF(K216&gt;1,"Composed","Atomic")</f>
        <v/>
      </c>
      <c r="M216" s="4" t="inlineStr">
        <is>
          <t>Pass</t>
        </is>
      </c>
      <c r="N216" s="3" t="inlineStr"/>
    </row>
    <row r="217">
      <c r="A217" s="5" t="n">
        <v>216</v>
      </c>
      <c r="B217" s="6" t="inlineStr">
        <is>
          <t>Y.8</t>
        </is>
      </c>
      <c r="C217" s="6" t="inlineStr">
        <is>
          <t>Area of compound figures</t>
        </is>
      </c>
      <c r="D217" s="6" t="inlineStr">
        <is>
          <t>Y</t>
        </is>
      </c>
      <c r="E217" s="6" t="inlineStr">
        <is>
          <t>Two-dimensional figures</t>
        </is>
      </c>
      <c r="F217" s="6" t="inlineStr">
        <is>
          <t>Split a figure into parts, then quantify</t>
        </is>
      </c>
      <c r="G217" s="6" t="inlineStr">
        <is>
          <t>Decompose</t>
        </is>
      </c>
      <c r="H217" s="6" t="inlineStr">
        <is>
          <t>Measure</t>
        </is>
      </c>
      <c r="I217" s="6" t="inlineStr">
        <is>
          <t>Compose</t>
        </is>
      </c>
      <c r="J217" s="6" t="inlineStr">
        <is>
          <t>Decompose -&gt; Measure -&gt; Compose</t>
        </is>
      </c>
      <c r="K217" s="5">
        <f>COUNTA(G217:I217)</f>
        <v/>
      </c>
      <c r="L217" s="5">
        <f>IF(K217&gt;1,"Composed","Atomic")</f>
        <v/>
      </c>
      <c r="M217" s="4" t="inlineStr">
        <is>
          <t>Pass</t>
        </is>
      </c>
      <c r="N217" s="6" t="inlineStr">
        <is>
          <t>Was Decompose+Measure. Cap hid the Compose step that totals the parts.</t>
        </is>
      </c>
    </row>
    <row r="218">
      <c r="A218" s="2" t="n">
        <v>217</v>
      </c>
      <c r="B218" s="3" t="inlineStr">
        <is>
          <t>Y.9</t>
        </is>
      </c>
      <c r="C218" s="3" t="inlineStr">
        <is>
          <t>Area between two shapes</t>
        </is>
      </c>
      <c r="D218" s="3" t="inlineStr">
        <is>
          <t>Y</t>
        </is>
      </c>
      <c r="E218" s="3" t="inlineStr">
        <is>
          <t>Two-dimensional figures</t>
        </is>
      </c>
      <c r="F218" s="3" t="inlineStr">
        <is>
          <t>Split a region into parts, then quantify</t>
        </is>
      </c>
      <c r="G218" s="3" t="inlineStr">
        <is>
          <t>Decompose</t>
        </is>
      </c>
      <c r="H218" s="3" t="inlineStr">
        <is>
          <t>Measure</t>
        </is>
      </c>
      <c r="I218" s="3" t="inlineStr">
        <is>
          <t>Compose</t>
        </is>
      </c>
      <c r="J218" s="3" t="inlineStr">
        <is>
          <t>Decompose -&gt; Measure -&gt; Compose</t>
        </is>
      </c>
      <c r="K218" s="2">
        <f>COUNTA(G218:I218)</f>
        <v/>
      </c>
      <c r="L218" s="2">
        <f>IF(K218&gt;1,"Composed","Atomic")</f>
        <v/>
      </c>
      <c r="M218" s="4" t="inlineStr">
        <is>
          <t>Pass</t>
        </is>
      </c>
      <c r="N218" s="3" t="inlineStr">
        <is>
          <t>Was Decompose+Measure. Cap hid the Compose step.</t>
        </is>
      </c>
    </row>
    <row r="219">
      <c r="A219" s="5" t="n">
        <v>218</v>
      </c>
      <c r="B219" s="6" t="inlineStr">
        <is>
          <t>Y.10</t>
        </is>
      </c>
      <c r="C219" s="6" t="inlineStr">
        <is>
          <t>Area and perimeter of similar figures</t>
        </is>
      </c>
      <c r="D219" s="6" t="inlineStr">
        <is>
          <t>Y</t>
        </is>
      </c>
      <c r="E219" s="6" t="inlineStr">
        <is>
          <t>Two-dimensional figures</t>
        </is>
      </c>
      <c r="F219" s="6" t="inlineStr">
        <is>
          <t>Relate magnitudes by a scale factor</t>
        </is>
      </c>
      <c r="G219" s="6" t="inlineStr">
        <is>
          <t>Compare</t>
        </is>
      </c>
      <c r="H219" s="6" t="inlineStr">
        <is>
          <t>Measure</t>
        </is>
      </c>
      <c r="I219" s="6" t="inlineStr"/>
      <c r="J219" s="6" t="inlineStr">
        <is>
          <t>Compare -&gt; Measure</t>
        </is>
      </c>
      <c r="K219" s="5">
        <f>COUNTA(G219:I219)</f>
        <v/>
      </c>
      <c r="L219" s="5">
        <f>IF(K219&gt;1,"Composed","Atomic")</f>
        <v/>
      </c>
      <c r="M219" s="4" t="inlineStr">
        <is>
          <t>Pass</t>
        </is>
      </c>
      <c r="N219" s="6" t="inlineStr">
        <is>
          <t>Was Compare+Measure, kept.</t>
        </is>
      </c>
    </row>
    <row r="220">
      <c r="A220" s="2" t="n">
        <v>219</v>
      </c>
      <c r="B220" s="3" t="inlineStr">
        <is>
          <t>Y.11</t>
        </is>
      </c>
      <c r="C220" s="3" t="inlineStr">
        <is>
          <t>Identify trapezoids</t>
        </is>
      </c>
      <c r="D220" s="3" t="inlineStr">
        <is>
          <t>Y</t>
        </is>
      </c>
      <c r="E220" s="3" t="inlineStr">
        <is>
          <t>Two-dimensional figures</t>
        </is>
      </c>
      <c r="F220" s="3" t="inlineStr">
        <is>
          <t>Assign an object to a category by its properties</t>
        </is>
      </c>
      <c r="G220" s="3" t="inlineStr">
        <is>
          <t>Identify</t>
        </is>
      </c>
      <c r="H220" s="3" t="inlineStr"/>
      <c r="I220" s="3" t="inlineStr"/>
      <c r="J220" s="3" t="inlineStr">
        <is>
          <t>Identify</t>
        </is>
      </c>
      <c r="K220" s="2">
        <f>COUNTA(G220:I220)</f>
        <v/>
      </c>
      <c r="L220" s="2">
        <f>IF(K220&gt;1,"Composed","Atomic")</f>
        <v/>
      </c>
      <c r="M220" s="4" t="inlineStr">
        <is>
          <t>Pass</t>
        </is>
      </c>
      <c r="N220" s="3" t="inlineStr"/>
    </row>
    <row r="221">
      <c r="A221" s="5" t="n">
        <v>220</v>
      </c>
      <c r="B221" s="6" t="inlineStr">
        <is>
          <t>Y.12</t>
        </is>
      </c>
      <c r="C221" s="6" t="inlineStr">
        <is>
          <t>Classify quadrilaterals</t>
        </is>
      </c>
      <c r="D221" s="6" t="inlineStr">
        <is>
          <t>Y</t>
        </is>
      </c>
      <c r="E221" s="6" t="inlineStr">
        <is>
          <t>Two-dimensional figures</t>
        </is>
      </c>
      <c r="F221" s="6" t="inlineStr">
        <is>
          <t>Assign an object to a category by its properties</t>
        </is>
      </c>
      <c r="G221" s="6" t="inlineStr">
        <is>
          <t>Identify</t>
        </is>
      </c>
      <c r="H221" s="6" t="inlineStr"/>
      <c r="I221" s="6" t="inlineStr"/>
      <c r="J221" s="6" t="inlineStr">
        <is>
          <t>Identify</t>
        </is>
      </c>
      <c r="K221" s="5">
        <f>COUNTA(G221:I221)</f>
        <v/>
      </c>
      <c r="L221" s="5">
        <f>IF(K221&gt;1,"Composed","Atomic")</f>
        <v/>
      </c>
      <c r="M221" s="4" t="inlineStr">
        <is>
          <t>Pass</t>
        </is>
      </c>
      <c r="N221" s="6" t="inlineStr"/>
    </row>
    <row r="222">
      <c r="A222" s="2" t="n">
        <v>221</v>
      </c>
      <c r="B222" s="3" t="inlineStr">
        <is>
          <t>Y.13</t>
        </is>
      </c>
      <c r="C222" s="3" t="inlineStr">
        <is>
          <t>Graph quadrilaterals</t>
        </is>
      </c>
      <c r="D222" s="3" t="inlineStr">
        <is>
          <t>Y</t>
        </is>
      </c>
      <c r="E222" s="3" t="inlineStr">
        <is>
          <t>Two-dimensional figures</t>
        </is>
      </c>
      <c r="F222" s="3" t="inlineStr">
        <is>
          <t>Move coordinates into a spatial representation</t>
        </is>
      </c>
      <c r="G222" s="3" t="inlineStr">
        <is>
          <t>Represent</t>
        </is>
      </c>
      <c r="H222" s="3" t="inlineStr"/>
      <c r="I222" s="3" t="inlineStr"/>
      <c r="J222" s="3" t="inlineStr">
        <is>
          <t>Represent</t>
        </is>
      </c>
      <c r="K222" s="2">
        <f>COUNTA(G222:I222)</f>
        <v/>
      </c>
      <c r="L222" s="2">
        <f>IF(K222&gt;1,"Composed","Atomic")</f>
        <v/>
      </c>
      <c r="M222" s="4" t="inlineStr">
        <is>
          <t>Pass</t>
        </is>
      </c>
      <c r="N222" s="3" t="inlineStr"/>
    </row>
    <row r="223">
      <c r="A223" s="5" t="n">
        <v>222</v>
      </c>
      <c r="B223" s="6" t="inlineStr">
        <is>
          <t>Y.14</t>
        </is>
      </c>
      <c r="C223" s="6" t="inlineStr">
        <is>
          <t>Properties of parallelograms</t>
        </is>
      </c>
      <c r="D223" s="6" t="inlineStr">
        <is>
          <t>Y</t>
        </is>
      </c>
      <c r="E223" s="6" t="inlineStr">
        <is>
          <t>Two-dimensional figures</t>
        </is>
      </c>
      <c r="F223" s="6" t="inlineStr">
        <is>
          <t>Use category properties as conditions on values</t>
        </is>
      </c>
      <c r="G223" s="6" t="inlineStr">
        <is>
          <t>Constrain</t>
        </is>
      </c>
      <c r="H223" s="6" t="inlineStr"/>
      <c r="I223" s="6" t="inlineStr"/>
      <c r="J223" s="6" t="inlineStr">
        <is>
          <t>Constrain</t>
        </is>
      </c>
      <c r="K223" s="5">
        <f>COUNTA(G223:I223)</f>
        <v/>
      </c>
      <c r="L223" s="5">
        <f>IF(K223&gt;1,"Composed","Atomic")</f>
        <v/>
      </c>
      <c r="M223" s="4" t="inlineStr">
        <is>
          <t>Pass</t>
        </is>
      </c>
      <c r="N223" s="6" t="inlineStr">
        <is>
          <t>Was Constrain+Identify. Using properties as conditions is Constrain.</t>
        </is>
      </c>
    </row>
    <row r="224">
      <c r="A224" s="2" t="n">
        <v>223</v>
      </c>
      <c r="B224" s="3" t="inlineStr">
        <is>
          <t>Y.15</t>
        </is>
      </c>
      <c r="C224" s="3" t="inlineStr">
        <is>
          <t>Properties of rhombuses</t>
        </is>
      </c>
      <c r="D224" s="3" t="inlineStr">
        <is>
          <t>Y</t>
        </is>
      </c>
      <c r="E224" s="3" t="inlineStr">
        <is>
          <t>Two-dimensional figures</t>
        </is>
      </c>
      <c r="F224" s="3" t="inlineStr">
        <is>
          <t>Use category properties as conditions on values</t>
        </is>
      </c>
      <c r="G224" s="3" t="inlineStr">
        <is>
          <t>Constrain</t>
        </is>
      </c>
      <c r="H224" s="3" t="inlineStr"/>
      <c r="I224" s="3" t="inlineStr"/>
      <c r="J224" s="3" t="inlineStr">
        <is>
          <t>Constrain</t>
        </is>
      </c>
      <c r="K224" s="2">
        <f>COUNTA(G224:I224)</f>
        <v/>
      </c>
      <c r="L224" s="2">
        <f>IF(K224&gt;1,"Composed","Atomic")</f>
        <v/>
      </c>
      <c r="M224" s="4" t="inlineStr">
        <is>
          <t>Pass</t>
        </is>
      </c>
      <c r="N224" s="3" t="inlineStr">
        <is>
          <t>Was Constrain+Identify. Same as Y.14.</t>
        </is>
      </c>
    </row>
    <row r="225">
      <c r="A225" s="5" t="n">
        <v>224</v>
      </c>
      <c r="B225" s="6" t="inlineStr">
        <is>
          <t>Z.1</t>
        </is>
      </c>
      <c r="C225" s="6" t="inlineStr">
        <is>
          <t>Three-dimensional figure vocabulary</t>
        </is>
      </c>
      <c r="D225" s="6" t="inlineStr">
        <is>
          <t>Z</t>
        </is>
      </c>
      <c r="E225" s="6" t="inlineStr">
        <is>
          <t>Three-dimensional figures</t>
        </is>
      </c>
      <c r="F225" s="6" t="inlineStr">
        <is>
          <t>Name parts and categories of a structure</t>
        </is>
      </c>
      <c r="G225" s="6" t="inlineStr">
        <is>
          <t>Identify</t>
        </is>
      </c>
      <c r="H225" s="6" t="inlineStr"/>
      <c r="I225" s="6" t="inlineStr"/>
      <c r="J225" s="6" t="inlineStr">
        <is>
          <t>Identify</t>
        </is>
      </c>
      <c r="K225" s="5">
        <f>COUNTA(G225:I225)</f>
        <v/>
      </c>
      <c r="L225" s="5">
        <f>IF(K225&gt;1,"Composed","Atomic")</f>
        <v/>
      </c>
      <c r="M225" s="4" t="inlineStr">
        <is>
          <t>Pass</t>
        </is>
      </c>
      <c r="N225" s="6" t="inlineStr"/>
    </row>
    <row r="226">
      <c r="A226" s="2" t="n">
        <v>225</v>
      </c>
      <c r="B226" s="3" t="inlineStr">
        <is>
          <t>Z.2</t>
        </is>
      </c>
      <c r="C226" s="3" t="inlineStr">
        <is>
          <t>Parts of three-dimensional figures</t>
        </is>
      </c>
      <c r="D226" s="3" t="inlineStr">
        <is>
          <t>Z</t>
        </is>
      </c>
      <c r="E226" s="3" t="inlineStr">
        <is>
          <t>Three-dimensional figures</t>
        </is>
      </c>
      <c r="F226" s="3" t="inlineStr">
        <is>
          <t>Split a solid into its named parts</t>
        </is>
      </c>
      <c r="G226" s="3" t="inlineStr">
        <is>
          <t>Decompose</t>
        </is>
      </c>
      <c r="H226" s="3" t="inlineStr"/>
      <c r="I226" s="3" t="inlineStr"/>
      <c r="J226" s="3" t="inlineStr">
        <is>
          <t>Decompose</t>
        </is>
      </c>
      <c r="K226" s="2">
        <f>COUNTA(G226:I226)</f>
        <v/>
      </c>
      <c r="L226" s="2">
        <f>IF(K226&gt;1,"Composed","Atomic")</f>
        <v/>
      </c>
      <c r="M226" s="4" t="inlineStr">
        <is>
          <t>Pass</t>
        </is>
      </c>
      <c r="N226" s="3" t="inlineStr">
        <is>
          <t>Was Decompose+Identify. Same as V.1.</t>
        </is>
      </c>
    </row>
    <row r="227">
      <c r="A227" s="5" t="n">
        <v>226</v>
      </c>
      <c r="B227" s="6" t="inlineStr">
        <is>
          <t>Z.3</t>
        </is>
      </c>
      <c r="C227" s="6" t="inlineStr">
        <is>
          <t>Nets and drawings of three-dimensional figures</t>
        </is>
      </c>
      <c r="D227" s="6" t="inlineStr">
        <is>
          <t>Z</t>
        </is>
      </c>
      <c r="E227" s="6" t="inlineStr">
        <is>
          <t>Three-dimensional figures</t>
        </is>
      </c>
      <c r="F227" s="6" t="inlineStr">
        <is>
          <t>Unfold a solid into a planar representation</t>
        </is>
      </c>
      <c r="G227" s="6" t="inlineStr">
        <is>
          <t>Represent</t>
        </is>
      </c>
      <c r="H227" s="6" t="inlineStr"/>
      <c r="I227" s="6" t="inlineStr"/>
      <c r="J227" s="6" t="inlineStr">
        <is>
          <t>Represent</t>
        </is>
      </c>
      <c r="K227" s="5">
        <f>COUNTA(G227:I227)</f>
        <v/>
      </c>
      <c r="L227" s="5">
        <f>IF(K227&gt;1,"Composed","Atomic")</f>
        <v/>
      </c>
      <c r="M227" s="4" t="inlineStr">
        <is>
          <t>Pass</t>
        </is>
      </c>
      <c r="N227" s="6" t="inlineStr">
        <is>
          <t>Was Represent+Decompose. Unfolding to a net is Represent.</t>
        </is>
      </c>
    </row>
    <row r="228">
      <c r="A228" s="2" t="n">
        <v>227</v>
      </c>
      <c r="B228" s="3" t="inlineStr">
        <is>
          <t>Z.4</t>
        </is>
      </c>
      <c r="C228" s="3" t="inlineStr">
        <is>
          <t>Introduction to surface area and volume</t>
        </is>
      </c>
      <c r="D228" s="3" t="inlineStr">
        <is>
          <t>Z</t>
        </is>
      </c>
      <c r="E228" s="3" t="inlineStr">
        <is>
          <t>Three-dimensional figures</t>
        </is>
      </c>
      <c r="F228" s="3" t="inlineStr">
        <is>
          <t>Quantify a magnitude of a solid</t>
        </is>
      </c>
      <c r="G228" s="3" t="inlineStr">
        <is>
          <t>Measure</t>
        </is>
      </c>
      <c r="H228" s="3" t="inlineStr"/>
      <c r="I228" s="3" t="inlineStr"/>
      <c r="J228" s="3" t="inlineStr">
        <is>
          <t>Measure</t>
        </is>
      </c>
      <c r="K228" s="2">
        <f>COUNTA(G228:I228)</f>
        <v/>
      </c>
      <c r="L228" s="2">
        <f>IF(K228&gt;1,"Composed","Atomic")</f>
        <v/>
      </c>
      <c r="M228" s="4" t="inlineStr">
        <is>
          <t>Pass</t>
        </is>
      </c>
      <c r="N228" s="3" t="inlineStr"/>
    </row>
    <row r="229">
      <c r="A229" s="5" t="n">
        <v>228</v>
      </c>
      <c r="B229" s="6" t="inlineStr">
        <is>
          <t>Z.5</t>
        </is>
      </c>
      <c r="C229" s="6" t="inlineStr">
        <is>
          <t>Surface area of prisms and cylinders</t>
        </is>
      </c>
      <c r="D229" s="6" t="inlineStr">
        <is>
          <t>Z</t>
        </is>
      </c>
      <c r="E229" s="6" t="inlineStr">
        <is>
          <t>Three-dimensional figures</t>
        </is>
      </c>
      <c r="F229" s="6" t="inlineStr">
        <is>
          <t>Split into faces, then quantify and total</t>
        </is>
      </c>
      <c r="G229" s="6" t="inlineStr">
        <is>
          <t>Decompose</t>
        </is>
      </c>
      <c r="H229" s="6" t="inlineStr">
        <is>
          <t>Measure</t>
        </is>
      </c>
      <c r="I229" s="6" t="inlineStr">
        <is>
          <t>Compose</t>
        </is>
      </c>
      <c r="J229" s="6" t="inlineStr">
        <is>
          <t>Decompose -&gt; Measure -&gt; Compose</t>
        </is>
      </c>
      <c r="K229" s="5">
        <f>COUNTA(G229:I229)</f>
        <v/>
      </c>
      <c r="L229" s="5">
        <f>IF(K229&gt;1,"Composed","Atomic")</f>
        <v/>
      </c>
      <c r="M229" s="4" t="inlineStr">
        <is>
          <t>Pass</t>
        </is>
      </c>
      <c r="N229" s="6" t="inlineStr">
        <is>
          <t>Was Measure+Decompose. Now Decompose -&gt; Measure -&gt; Compose, in solving order.</t>
        </is>
      </c>
    </row>
    <row r="230">
      <c r="A230" s="2" t="n">
        <v>229</v>
      </c>
      <c r="B230" s="3" t="inlineStr">
        <is>
          <t>Z.6</t>
        </is>
      </c>
      <c r="C230" s="3" t="inlineStr">
        <is>
          <t>Surface area of pyramids and cones</t>
        </is>
      </c>
      <c r="D230" s="3" t="inlineStr">
        <is>
          <t>Z</t>
        </is>
      </c>
      <c r="E230" s="3" t="inlineStr">
        <is>
          <t>Three-dimensional figures</t>
        </is>
      </c>
      <c r="F230" s="3" t="inlineStr">
        <is>
          <t>Split into faces, then quantify and total</t>
        </is>
      </c>
      <c r="G230" s="3" t="inlineStr">
        <is>
          <t>Decompose</t>
        </is>
      </c>
      <c r="H230" s="3" t="inlineStr">
        <is>
          <t>Measure</t>
        </is>
      </c>
      <c r="I230" s="3" t="inlineStr">
        <is>
          <t>Compose</t>
        </is>
      </c>
      <c r="J230" s="3" t="inlineStr">
        <is>
          <t>Decompose -&gt; Measure -&gt; Compose</t>
        </is>
      </c>
      <c r="K230" s="2">
        <f>COUNTA(G230:I230)</f>
        <v/>
      </c>
      <c r="L230" s="2">
        <f>IF(K230&gt;1,"Composed","Atomic")</f>
        <v/>
      </c>
      <c r="M230" s="4" t="inlineStr">
        <is>
          <t>Pass</t>
        </is>
      </c>
      <c r="N230" s="3" t="inlineStr">
        <is>
          <t>Was Measure+Decompose. Same as Z.5.</t>
        </is>
      </c>
    </row>
    <row r="231">
      <c r="A231" s="5" t="n">
        <v>230</v>
      </c>
      <c r="B231" s="6" t="inlineStr">
        <is>
          <t>Z.7</t>
        </is>
      </c>
      <c r="C231" s="6" t="inlineStr">
        <is>
          <t>Volume of prisms and cylinders</t>
        </is>
      </c>
      <c r="D231" s="6" t="inlineStr">
        <is>
          <t>Z</t>
        </is>
      </c>
      <c r="E231" s="6" t="inlineStr">
        <is>
          <t>Three-dimensional figures</t>
        </is>
      </c>
      <c r="F231" s="6" t="inlineStr">
        <is>
          <t>Quantify a magnitude of a solid</t>
        </is>
      </c>
      <c r="G231" s="6" t="inlineStr">
        <is>
          <t>Measure</t>
        </is>
      </c>
      <c r="H231" s="6" t="inlineStr"/>
      <c r="I231" s="6" t="inlineStr"/>
      <c r="J231" s="6" t="inlineStr">
        <is>
          <t>Measure</t>
        </is>
      </c>
      <c r="K231" s="5">
        <f>COUNTA(G231:I231)</f>
        <v/>
      </c>
      <c r="L231" s="5">
        <f>IF(K231&gt;1,"Composed","Atomic")</f>
        <v/>
      </c>
      <c r="M231" s="4" t="inlineStr">
        <is>
          <t>Pass</t>
        </is>
      </c>
      <c r="N231" s="6" t="inlineStr"/>
    </row>
    <row r="232">
      <c r="A232" s="2" t="n">
        <v>231</v>
      </c>
      <c r="B232" s="3" t="inlineStr">
        <is>
          <t>Z.8</t>
        </is>
      </c>
      <c r="C232" s="3" t="inlineStr">
        <is>
          <t>Volume of pyramids and cones</t>
        </is>
      </c>
      <c r="D232" s="3" t="inlineStr">
        <is>
          <t>Z</t>
        </is>
      </c>
      <c r="E232" s="3" t="inlineStr">
        <is>
          <t>Three-dimensional figures</t>
        </is>
      </c>
      <c r="F232" s="3" t="inlineStr">
        <is>
          <t>Quantify a magnitude of a solid</t>
        </is>
      </c>
      <c r="G232" s="3" t="inlineStr">
        <is>
          <t>Measure</t>
        </is>
      </c>
      <c r="H232" s="3" t="inlineStr"/>
      <c r="I232" s="3" t="inlineStr"/>
      <c r="J232" s="3" t="inlineStr">
        <is>
          <t>Measure</t>
        </is>
      </c>
      <c r="K232" s="2">
        <f>COUNTA(G232:I232)</f>
        <v/>
      </c>
      <c r="L232" s="2">
        <f>IF(K232&gt;1,"Composed","Atomic")</f>
        <v/>
      </c>
      <c r="M232" s="4" t="inlineStr">
        <is>
          <t>Pass</t>
        </is>
      </c>
      <c r="N232" s="3" t="inlineStr"/>
    </row>
    <row r="233">
      <c r="A233" s="5" t="n">
        <v>232</v>
      </c>
      <c r="B233" s="6" t="inlineStr">
        <is>
          <t>Z.9</t>
        </is>
      </c>
      <c r="C233" s="6" t="inlineStr">
        <is>
          <t>Surface area and volume of spheres</t>
        </is>
      </c>
      <c r="D233" s="6" t="inlineStr">
        <is>
          <t>Z</t>
        </is>
      </c>
      <c r="E233" s="6" t="inlineStr">
        <is>
          <t>Three-dimensional figures</t>
        </is>
      </c>
      <c r="F233" s="6" t="inlineStr">
        <is>
          <t>Quantify a magnitude of a solid</t>
        </is>
      </c>
      <c r="G233" s="6" t="inlineStr">
        <is>
          <t>Measure</t>
        </is>
      </c>
      <c r="H233" s="6" t="inlineStr"/>
      <c r="I233" s="6" t="inlineStr"/>
      <c r="J233" s="6" t="inlineStr">
        <is>
          <t>Measure</t>
        </is>
      </c>
      <c r="K233" s="5">
        <f>COUNTA(G233:I233)</f>
        <v/>
      </c>
      <c r="L233" s="5">
        <f>IF(K233&gt;1,"Composed","Atomic")</f>
        <v/>
      </c>
      <c r="M233" s="4" t="inlineStr">
        <is>
          <t>Pass</t>
        </is>
      </c>
      <c r="N233" s="6" t="inlineStr"/>
    </row>
    <row r="234">
      <c r="A234" s="2" t="n">
        <v>233</v>
      </c>
      <c r="B234" s="3" t="inlineStr">
        <is>
          <t>Z.10</t>
        </is>
      </c>
      <c r="C234" s="3" t="inlineStr">
        <is>
          <t>Introduction to similar solids</t>
        </is>
      </c>
      <c r="D234" s="3" t="inlineStr">
        <is>
          <t>Z</t>
        </is>
      </c>
      <c r="E234" s="3" t="inlineStr">
        <is>
          <t>Three-dimensional figures</t>
        </is>
      </c>
      <c r="F234" s="3" t="inlineStr">
        <is>
          <t>Assign to a category by proportional properties</t>
        </is>
      </c>
      <c r="G234" s="3" t="inlineStr">
        <is>
          <t>Identify</t>
        </is>
      </c>
      <c r="H234" s="3" t="inlineStr"/>
      <c r="I234" s="3" t="inlineStr"/>
      <c r="J234" s="3" t="inlineStr">
        <is>
          <t>Identify</t>
        </is>
      </c>
      <c r="K234" s="2">
        <f>COUNTA(G234:I234)</f>
        <v/>
      </c>
      <c r="L234" s="2">
        <f>IF(K234&gt;1,"Composed","Atomic")</f>
        <v/>
      </c>
      <c r="M234" s="4" t="inlineStr">
        <is>
          <t>Pass</t>
        </is>
      </c>
      <c r="N234" s="3" t="inlineStr">
        <is>
          <t>Was Identify+Compare. Category assignment is Identify.</t>
        </is>
      </c>
    </row>
    <row r="235">
      <c r="A235" s="5" t="n">
        <v>234</v>
      </c>
      <c r="B235" s="6" t="inlineStr">
        <is>
          <t>Z.11</t>
        </is>
      </c>
      <c r="C235" s="6" t="inlineStr">
        <is>
          <t>Surface area and volume of similar solids</t>
        </is>
      </c>
      <c r="D235" s="6" t="inlineStr">
        <is>
          <t>Z</t>
        </is>
      </c>
      <c r="E235" s="6" t="inlineStr">
        <is>
          <t>Three-dimensional figures</t>
        </is>
      </c>
      <c r="F235" s="6" t="inlineStr">
        <is>
          <t>Relate magnitudes by a scale factor</t>
        </is>
      </c>
      <c r="G235" s="6" t="inlineStr">
        <is>
          <t>Compare</t>
        </is>
      </c>
      <c r="H235" s="6" t="inlineStr">
        <is>
          <t>Measure</t>
        </is>
      </c>
      <c r="I235" s="6" t="inlineStr"/>
      <c r="J235" s="6" t="inlineStr">
        <is>
          <t>Compare -&gt; Measure</t>
        </is>
      </c>
      <c r="K235" s="5">
        <f>COUNTA(G235:I235)</f>
        <v/>
      </c>
      <c r="L235" s="5">
        <f>IF(K235&gt;1,"Composed","Atomic")</f>
        <v/>
      </c>
      <c r="M235" s="4" t="inlineStr">
        <is>
          <t>Pass</t>
        </is>
      </c>
      <c r="N235" s="6" t="inlineStr">
        <is>
          <t>Was Compare+Measure, kept.</t>
        </is>
      </c>
    </row>
    <row r="236">
      <c r="A236" s="2" t="n">
        <v>235</v>
      </c>
      <c r="B236" s="3" t="inlineStr">
        <is>
          <t>Z.12</t>
        </is>
      </c>
      <c r="C236" s="3" t="inlineStr">
        <is>
          <t>Surface area and volume review</t>
        </is>
      </c>
      <c r="D236" s="3" t="inlineStr">
        <is>
          <t>Z</t>
        </is>
      </c>
      <c r="E236" s="3" t="inlineStr">
        <is>
          <t>Three-dimensional figures</t>
        </is>
      </c>
      <c r="F236" s="3" t="inlineStr">
        <is>
          <t>Quantify a magnitude of a solid</t>
        </is>
      </c>
      <c r="G236" s="3" t="inlineStr">
        <is>
          <t>Measure</t>
        </is>
      </c>
      <c r="H236" s="3" t="inlineStr"/>
      <c r="I236" s="3" t="inlineStr"/>
      <c r="J236" s="3" t="inlineStr">
        <is>
          <t>Measure</t>
        </is>
      </c>
      <c r="K236" s="2">
        <f>COUNTA(G236:I236)</f>
        <v/>
      </c>
      <c r="L236" s="2">
        <f>IF(K236&gt;1,"Composed","Atomic")</f>
        <v/>
      </c>
      <c r="M236" s="4" t="inlineStr">
        <is>
          <t>Pass</t>
        </is>
      </c>
      <c r="N236" s="3" t="inlineStr"/>
    </row>
    <row r="237">
      <c r="A237" s="5" t="n">
        <v>236</v>
      </c>
      <c r="B237" s="6" t="inlineStr">
        <is>
          <t>Z.13</t>
        </is>
      </c>
      <c r="C237" s="6" t="inlineStr">
        <is>
          <t>Cross-sections of three-dimensional figures</t>
        </is>
      </c>
      <c r="D237" s="6" t="inlineStr">
        <is>
          <t>Z</t>
        </is>
      </c>
      <c r="E237" s="6" t="inlineStr">
        <is>
          <t>Three-dimensional figures</t>
        </is>
      </c>
      <c r="F237" s="6" t="inlineStr">
        <is>
          <t>Slice a solid and read the resulting figure</t>
        </is>
      </c>
      <c r="G237" s="6" t="inlineStr">
        <is>
          <t>Decompose</t>
        </is>
      </c>
      <c r="H237" s="6" t="inlineStr">
        <is>
          <t>Represent</t>
        </is>
      </c>
      <c r="I237" s="6" t="inlineStr"/>
      <c r="J237" s="6" t="inlineStr">
        <is>
          <t>Decompose -&gt; Represent</t>
        </is>
      </c>
      <c r="K237" s="5">
        <f>COUNTA(G237:I237)</f>
        <v/>
      </c>
      <c r="L237" s="5">
        <f>IF(K237&gt;1,"Composed","Atomic")</f>
        <v/>
      </c>
      <c r="M237" s="4" t="inlineStr">
        <is>
          <t>Pass</t>
        </is>
      </c>
      <c r="N237" s="6" t="inlineStr">
        <is>
          <t>Was Decompose+Represent, kept.</t>
        </is>
      </c>
    </row>
    <row r="238">
      <c r="A238" s="2" t="n">
        <v>237</v>
      </c>
      <c r="B238" s="3" t="inlineStr">
        <is>
          <t>Z.14</t>
        </is>
      </c>
      <c r="C238" s="3" t="inlineStr">
        <is>
          <t>Solids of revolution</t>
        </is>
      </c>
      <c r="D238" s="3" t="inlineStr">
        <is>
          <t>Z</t>
        </is>
      </c>
      <c r="E238" s="3" t="inlineStr">
        <is>
          <t>Three-dimensional figures</t>
        </is>
      </c>
      <c r="F238" s="3" t="inlineStr">
        <is>
          <t>Map a plane figure to a solid under an operation</t>
        </is>
      </c>
      <c r="G238" s="3" t="inlineStr">
        <is>
          <t>Transform</t>
        </is>
      </c>
      <c r="H238" s="3" t="inlineStr">
        <is>
          <t>Represent</t>
        </is>
      </c>
      <c r="I238" s="3" t="inlineStr"/>
      <c r="J238" s="3" t="inlineStr">
        <is>
          <t>Transform -&gt; Represent</t>
        </is>
      </c>
      <c r="K238" s="2">
        <f>COUNTA(G238:I238)</f>
        <v/>
      </c>
      <c r="L238" s="2">
        <f>IF(K238&gt;1,"Composed","Atomic")</f>
        <v/>
      </c>
      <c r="M238" s="4" t="inlineStr">
        <is>
          <t>Pass</t>
        </is>
      </c>
      <c r="N238" s="3" t="inlineStr">
        <is>
          <t>Was Transform+Represent, kept.</t>
        </is>
      </c>
    </row>
    <row r="239">
      <c r="A239" s="5" t="n">
        <v>238</v>
      </c>
      <c r="B239" s="6" t="inlineStr">
        <is>
          <t>AA.1</t>
        </is>
      </c>
      <c r="C239" s="6" t="inlineStr">
        <is>
          <t>Congruent line segments</t>
        </is>
      </c>
      <c r="D239" s="6" t="inlineStr">
        <is>
          <t>AA</t>
        </is>
      </c>
      <c r="E239" s="6" t="inlineStr">
        <is>
          <t>Congruent figures</t>
        </is>
      </c>
      <c r="F239" s="6" t="inlineStr">
        <is>
          <t>Judge sameness of two magnitudes</t>
        </is>
      </c>
      <c r="G239" s="6" t="inlineStr">
        <is>
          <t>Compare</t>
        </is>
      </c>
      <c r="H239" s="6" t="inlineStr"/>
      <c r="I239" s="6" t="inlineStr"/>
      <c r="J239" s="6" t="inlineStr">
        <is>
          <t>Compare</t>
        </is>
      </c>
      <c r="K239" s="5">
        <f>COUNTA(G239:I239)</f>
        <v/>
      </c>
      <c r="L239" s="5">
        <f>IF(K239&gt;1,"Composed","Atomic")</f>
        <v/>
      </c>
      <c r="M239" s="4" t="inlineStr">
        <is>
          <t>Pass</t>
        </is>
      </c>
      <c r="N239" s="6" t="inlineStr"/>
    </row>
    <row r="240">
      <c r="A240" s="2" t="n">
        <v>239</v>
      </c>
      <c r="B240" s="3" t="inlineStr">
        <is>
          <t>AA.2</t>
        </is>
      </c>
      <c r="C240" s="3" t="inlineStr">
        <is>
          <t>Congruence statements and corresponding parts</t>
        </is>
      </c>
      <c r="D240" s="3" t="inlineStr">
        <is>
          <t>AA</t>
        </is>
      </c>
      <c r="E240" s="3" t="inlineStr">
        <is>
          <t>Congruent figures</t>
        </is>
      </c>
      <c r="F240" s="3" t="inlineStr">
        <is>
          <t>Match parts across two structures</t>
        </is>
      </c>
      <c r="G240" s="3" t="inlineStr">
        <is>
          <t>Compare</t>
        </is>
      </c>
      <c r="H240" s="3" t="inlineStr"/>
      <c r="I240" s="3" t="inlineStr"/>
      <c r="J240" s="3" t="inlineStr">
        <is>
          <t>Compare</t>
        </is>
      </c>
      <c r="K240" s="2">
        <f>COUNTA(G240:I240)</f>
        <v/>
      </c>
      <c r="L240" s="2">
        <f>IF(K240&gt;1,"Composed","Atomic")</f>
        <v/>
      </c>
      <c r="M240" s="4" t="inlineStr">
        <is>
          <t>Pass</t>
        </is>
      </c>
      <c r="N240" s="3" t="inlineStr">
        <is>
          <t>Was Compare+Identify. Matching parts is Compare.</t>
        </is>
      </c>
    </row>
    <row r="241">
      <c r="A241" s="5" t="n">
        <v>240</v>
      </c>
      <c r="B241" s="6" t="inlineStr">
        <is>
          <t>AA.3</t>
        </is>
      </c>
      <c r="C241" s="6" t="inlineStr">
        <is>
          <t>Solve problems involving corresponding parts</t>
        </is>
      </c>
      <c r="D241" s="6" t="inlineStr">
        <is>
          <t>AA</t>
        </is>
      </c>
      <c r="E241" s="6" t="inlineStr">
        <is>
          <t>Congruent figures</t>
        </is>
      </c>
      <c r="F241" s="6" t="inlineStr">
        <is>
          <t>Use a matching to recover unknown values</t>
        </is>
      </c>
      <c r="G241" s="6" t="inlineStr">
        <is>
          <t>Compare</t>
        </is>
      </c>
      <c r="H241" s="6" t="inlineStr">
        <is>
          <t>Constrain</t>
        </is>
      </c>
      <c r="I241" s="6" t="inlineStr"/>
      <c r="J241" s="6" t="inlineStr">
        <is>
          <t>Compare -&gt; Constrain</t>
        </is>
      </c>
      <c r="K241" s="5">
        <f>COUNTA(G241:I241)</f>
        <v/>
      </c>
      <c r="L241" s="5">
        <f>IF(K241&gt;1,"Composed","Atomic")</f>
        <v/>
      </c>
      <c r="M241" s="4" t="inlineStr">
        <is>
          <t>Pass</t>
        </is>
      </c>
      <c r="N241" s="6" t="inlineStr">
        <is>
          <t>Was Constrain+Compare. Reordered: establish the matching, then solve.</t>
        </is>
      </c>
    </row>
    <row r="242">
      <c r="A242" s="2" t="n">
        <v>241</v>
      </c>
      <c r="B242" s="3" t="inlineStr">
        <is>
          <t>AA.4</t>
        </is>
      </c>
      <c r="C242" s="3" t="inlineStr">
        <is>
          <t>Identify congruent figures</t>
        </is>
      </c>
      <c r="D242" s="3" t="inlineStr">
        <is>
          <t>AA</t>
        </is>
      </c>
      <c r="E242" s="3" t="inlineStr">
        <is>
          <t>Congruent figures</t>
        </is>
      </c>
      <c r="F242" s="3" t="inlineStr">
        <is>
          <t>Judge sameness of two structures</t>
        </is>
      </c>
      <c r="G242" s="3" t="inlineStr">
        <is>
          <t>Compare</t>
        </is>
      </c>
      <c r="H242" s="3" t="inlineStr"/>
      <c r="I242" s="3" t="inlineStr"/>
      <c r="J242" s="3" t="inlineStr">
        <is>
          <t>Compare</t>
        </is>
      </c>
      <c r="K242" s="2">
        <f>COUNTA(G242:I242)</f>
        <v/>
      </c>
      <c r="L242" s="2">
        <f>IF(K242&gt;1,"Composed","Atomic")</f>
        <v/>
      </c>
      <c r="M242" s="4" t="inlineStr">
        <is>
          <t>Pass</t>
        </is>
      </c>
      <c r="N242" s="3" t="inlineStr">
        <is>
          <t>Was Compare+Identify. Judging sameness is Compare.</t>
        </is>
      </c>
    </row>
    <row r="243">
      <c r="A243" s="5" t="n">
        <v>242</v>
      </c>
      <c r="B243" s="6" t="inlineStr">
        <is>
          <t>AA.5</t>
        </is>
      </c>
      <c r="C243" s="6" t="inlineStr">
        <is>
          <t>SSS and SAS Theorems</t>
        </is>
      </c>
      <c r="D243" s="6" t="inlineStr">
        <is>
          <t>AA</t>
        </is>
      </c>
      <c r="E243" s="6" t="inlineStr">
        <is>
          <t>Congruent figures</t>
        </is>
      </c>
      <c r="F243" s="6" t="inlineStr">
        <is>
          <t>Test whether criteria establish sameness</t>
        </is>
      </c>
      <c r="G243" s="6" t="inlineStr">
        <is>
          <t>Verify</t>
        </is>
      </c>
      <c r="H243" s="6" t="inlineStr"/>
      <c r="I243" s="6" t="inlineStr"/>
      <c r="J243" s="6" t="inlineStr">
        <is>
          <t>Verify</t>
        </is>
      </c>
      <c r="K243" s="5">
        <f>COUNTA(G243:I243)</f>
        <v/>
      </c>
      <c r="L243" s="5">
        <f>IF(K243&gt;1,"Composed","Atomic")</f>
        <v/>
      </c>
      <c r="M243" s="4" t="inlineStr">
        <is>
          <t>Pass</t>
        </is>
      </c>
      <c r="N243" s="6" t="inlineStr">
        <is>
          <t>Was Verify+Compare. Criterion application is Verify alone.</t>
        </is>
      </c>
    </row>
    <row r="244">
      <c r="A244" s="2" t="n">
        <v>243</v>
      </c>
      <c r="B244" s="3" t="inlineStr">
        <is>
          <t>AA.6</t>
        </is>
      </c>
      <c r="C244" s="3" t="inlineStr">
        <is>
          <t>ASA and AAS Theorems</t>
        </is>
      </c>
      <c r="D244" s="3" t="inlineStr">
        <is>
          <t>AA</t>
        </is>
      </c>
      <c r="E244" s="3" t="inlineStr">
        <is>
          <t>Congruent figures</t>
        </is>
      </c>
      <c r="F244" s="3" t="inlineStr">
        <is>
          <t>Test whether criteria establish sameness</t>
        </is>
      </c>
      <c r="G244" s="3" t="inlineStr">
        <is>
          <t>Verify</t>
        </is>
      </c>
      <c r="H244" s="3" t="inlineStr"/>
      <c r="I244" s="3" t="inlineStr"/>
      <c r="J244" s="3" t="inlineStr">
        <is>
          <t>Verify</t>
        </is>
      </c>
      <c r="K244" s="2">
        <f>COUNTA(G244:I244)</f>
        <v/>
      </c>
      <c r="L244" s="2">
        <f>IF(K244&gt;1,"Composed","Atomic")</f>
        <v/>
      </c>
      <c r="M244" s="4" t="inlineStr">
        <is>
          <t>Pass</t>
        </is>
      </c>
      <c r="N244" s="3" t="inlineStr">
        <is>
          <t>Was Verify+Compare. Same as AA.5.</t>
        </is>
      </c>
    </row>
    <row r="245">
      <c r="A245" s="5" t="n">
        <v>244</v>
      </c>
      <c r="B245" s="6" t="inlineStr">
        <is>
          <t>AA.7</t>
        </is>
      </c>
      <c r="C245" s="6" t="inlineStr">
        <is>
          <t>SSS, SAS, ASA and AAS Theorems</t>
        </is>
      </c>
      <c r="D245" s="6" t="inlineStr">
        <is>
          <t>AA</t>
        </is>
      </c>
      <c r="E245" s="6" t="inlineStr">
        <is>
          <t>Congruent figures</t>
        </is>
      </c>
      <c r="F245" s="6" t="inlineStr">
        <is>
          <t>Test whether criteria establish sameness</t>
        </is>
      </c>
      <c r="G245" s="6" t="inlineStr">
        <is>
          <t>Verify</t>
        </is>
      </c>
      <c r="H245" s="6" t="inlineStr"/>
      <c r="I245" s="6" t="inlineStr"/>
      <c r="J245" s="6" t="inlineStr">
        <is>
          <t>Verify</t>
        </is>
      </c>
      <c r="K245" s="5">
        <f>COUNTA(G245:I245)</f>
        <v/>
      </c>
      <c r="L245" s="5">
        <f>IF(K245&gt;1,"Composed","Atomic")</f>
        <v/>
      </c>
      <c r="M245" s="4" t="inlineStr">
        <is>
          <t>Pass</t>
        </is>
      </c>
      <c r="N245" s="6" t="inlineStr">
        <is>
          <t>Was Verify+Compare. Same as AA.5.</t>
        </is>
      </c>
    </row>
    <row r="246">
      <c r="A246" s="2" t="n">
        <v>245</v>
      </c>
      <c r="B246" s="3" t="inlineStr">
        <is>
          <t>AA.8</t>
        </is>
      </c>
      <c r="C246" s="3" t="inlineStr">
        <is>
          <t>SSS Theorem in the coordinate plane</t>
        </is>
      </c>
      <c r="D246" s="3" t="inlineStr">
        <is>
          <t>AA</t>
        </is>
      </c>
      <c r="E246" s="3" t="inlineStr">
        <is>
          <t>Congruent figures</t>
        </is>
      </c>
      <c r="F246" s="3" t="inlineStr">
        <is>
          <t>Quantify sides, then test the criterion</t>
        </is>
      </c>
      <c r="G246" s="3" t="inlineStr">
        <is>
          <t>Measure</t>
        </is>
      </c>
      <c r="H246" s="3" t="inlineStr">
        <is>
          <t>Verify</t>
        </is>
      </c>
      <c r="I246" s="3" t="inlineStr"/>
      <c r="J246" s="3" t="inlineStr">
        <is>
          <t>Measure -&gt; Verify</t>
        </is>
      </c>
      <c r="K246" s="2">
        <f>COUNTA(G246:I246)</f>
        <v/>
      </c>
      <c r="L246" s="2">
        <f>IF(K246&gt;1,"Composed","Atomic")</f>
        <v/>
      </c>
      <c r="M246" s="4" t="inlineStr">
        <is>
          <t>Pass</t>
        </is>
      </c>
      <c r="N246" s="3" t="inlineStr">
        <is>
          <t>Was Measure+Verify, kept.</t>
        </is>
      </c>
    </row>
    <row r="247">
      <c r="A247" s="5" t="n">
        <v>246</v>
      </c>
      <c r="B247" s="6" t="inlineStr">
        <is>
          <t>AA.9</t>
        </is>
      </c>
      <c r="C247" s="6" t="inlineStr">
        <is>
          <t>Congruency in isosceles and equilateral triangles</t>
        </is>
      </c>
      <c r="D247" s="6" t="inlineStr">
        <is>
          <t>AA</t>
        </is>
      </c>
      <c r="E247" s="6" t="inlineStr">
        <is>
          <t>Congruent figures</t>
        </is>
      </c>
      <c r="F247" s="6" t="inlineStr">
        <is>
          <t>Use congruence properties as conditions</t>
        </is>
      </c>
      <c r="G247" s="6" t="inlineStr">
        <is>
          <t>Constrain</t>
        </is>
      </c>
      <c r="H247" s="6" t="inlineStr"/>
      <c r="I247" s="6" t="inlineStr"/>
      <c r="J247" s="6" t="inlineStr">
        <is>
          <t>Constrain</t>
        </is>
      </c>
      <c r="K247" s="5">
        <f>COUNTA(G247:I247)</f>
        <v/>
      </c>
      <c r="L247" s="5">
        <f>IF(K247&gt;1,"Composed","Atomic")</f>
        <v/>
      </c>
      <c r="M247" s="4" t="inlineStr">
        <is>
          <t>Pass</t>
        </is>
      </c>
      <c r="N247" s="6" t="inlineStr">
        <is>
          <t>Was Constrain+Verify. Using the property to find values is Constrain.</t>
        </is>
      </c>
    </row>
    <row r="248">
      <c r="A248" s="2" t="n">
        <v>247</v>
      </c>
      <c r="B248" s="3" t="inlineStr">
        <is>
          <t>AA.10</t>
        </is>
      </c>
      <c r="C248" s="3" t="inlineStr">
        <is>
          <t>Hypotenuse-Leg Theorem</t>
        </is>
      </c>
      <c r="D248" s="3" t="inlineStr">
        <is>
          <t>AA</t>
        </is>
      </c>
      <c r="E248" s="3" t="inlineStr">
        <is>
          <t>Congruent figures</t>
        </is>
      </c>
      <c r="F248" s="3" t="inlineStr">
        <is>
          <t>Test whether criteria establish sameness</t>
        </is>
      </c>
      <c r="G248" s="3" t="inlineStr">
        <is>
          <t>Verify</t>
        </is>
      </c>
      <c r="H248" s="3" t="inlineStr"/>
      <c r="I248" s="3" t="inlineStr"/>
      <c r="J248" s="3" t="inlineStr">
        <is>
          <t>Verify</t>
        </is>
      </c>
      <c r="K248" s="2">
        <f>COUNTA(G248:I248)</f>
        <v/>
      </c>
      <c r="L248" s="2">
        <f>IF(K248&gt;1,"Composed","Atomic")</f>
        <v/>
      </c>
      <c r="M248" s="4" t="inlineStr">
        <is>
          <t>Pass</t>
        </is>
      </c>
      <c r="N248" s="3" t="inlineStr">
        <is>
          <t>Was Verify+Compare. Same as AA.5.</t>
        </is>
      </c>
    </row>
    <row r="249">
      <c r="A249" s="5" t="n">
        <v>248</v>
      </c>
      <c r="B249" s="6" t="inlineStr">
        <is>
          <t>BB.1</t>
        </is>
      </c>
      <c r="C249" s="6" t="inlineStr">
        <is>
          <t>Classify triangles</t>
        </is>
      </c>
      <c r="D249" s="6" t="inlineStr">
        <is>
          <t>BB</t>
        </is>
      </c>
      <c r="E249" s="6" t="inlineStr">
        <is>
          <t>Triangles</t>
        </is>
      </c>
      <c r="F249" s="6" t="inlineStr">
        <is>
          <t>Assign an object to a category by its properties</t>
        </is>
      </c>
      <c r="G249" s="6" t="inlineStr">
        <is>
          <t>Identify</t>
        </is>
      </c>
      <c r="H249" s="6" t="inlineStr"/>
      <c r="I249" s="6" t="inlineStr"/>
      <c r="J249" s="6" t="inlineStr">
        <is>
          <t>Identify</t>
        </is>
      </c>
      <c r="K249" s="5">
        <f>COUNTA(G249:I249)</f>
        <v/>
      </c>
      <c r="L249" s="5">
        <f>IF(K249&gt;1,"Composed","Atomic")</f>
        <v/>
      </c>
      <c r="M249" s="4" t="inlineStr">
        <is>
          <t>Pass</t>
        </is>
      </c>
      <c r="N249" s="6" t="inlineStr"/>
    </row>
    <row r="250">
      <c r="A250" s="2" t="n">
        <v>249</v>
      </c>
      <c r="B250" s="3" t="inlineStr">
        <is>
          <t>BB.2</t>
        </is>
      </c>
      <c r="C250" s="3" t="inlineStr">
        <is>
          <t>Triangle Angle-Sum Theorem</t>
        </is>
      </c>
      <c r="D250" s="3" t="inlineStr">
        <is>
          <t>BB</t>
        </is>
      </c>
      <c r="E250" s="3" t="inlineStr">
        <is>
          <t>Triangles</t>
        </is>
      </c>
      <c r="F250" s="3" t="inlineStr">
        <is>
          <t>Use a fixed total as a condition on values</t>
        </is>
      </c>
      <c r="G250" s="3" t="inlineStr">
        <is>
          <t>Constrain</t>
        </is>
      </c>
      <c r="H250" s="3" t="inlineStr"/>
      <c r="I250" s="3" t="inlineStr"/>
      <c r="J250" s="3" t="inlineStr">
        <is>
          <t>Constrain</t>
        </is>
      </c>
      <c r="K250" s="2">
        <f>COUNTA(G250:I250)</f>
        <v/>
      </c>
      <c r="L250" s="2">
        <f>IF(K250&gt;1,"Composed","Atomic")</f>
        <v/>
      </c>
      <c r="M250" s="4" t="inlineStr">
        <is>
          <t>Pass</t>
        </is>
      </c>
      <c r="N250" s="3" t="inlineStr">
        <is>
          <t>Was Constrain+Measure. Same as DD.1.</t>
        </is>
      </c>
    </row>
    <row r="251">
      <c r="A251" s="5" t="n">
        <v>250</v>
      </c>
      <c r="B251" s="6" t="inlineStr">
        <is>
          <t>BB.3</t>
        </is>
      </c>
      <c r="C251" s="6" t="inlineStr">
        <is>
          <t>Midsegments of triangles</t>
        </is>
      </c>
      <c r="D251" s="6" t="inlineStr">
        <is>
          <t>BB</t>
        </is>
      </c>
      <c r="E251" s="6" t="inlineStr">
        <is>
          <t>Triangles</t>
        </is>
      </c>
      <c r="F251" s="6" t="inlineStr">
        <is>
          <t>Apply a general relationship to quantify</t>
        </is>
      </c>
      <c r="G251" s="6" t="inlineStr">
        <is>
          <t>Measure</t>
        </is>
      </c>
      <c r="H251" s="6" t="inlineStr"/>
      <c r="I251" s="6" t="inlineStr"/>
      <c r="J251" s="6" t="inlineStr">
        <is>
          <t>Measure</t>
        </is>
      </c>
      <c r="K251" s="5">
        <f>COUNTA(G251:I251)</f>
        <v/>
      </c>
      <c r="L251" s="5">
        <f>IF(K251&gt;1,"Composed","Atomic")</f>
        <v/>
      </c>
      <c r="M251" s="4" t="inlineStr">
        <is>
          <t>Pass</t>
        </is>
      </c>
      <c r="N251" s="6" t="inlineStr">
        <is>
          <t>Was Measure+Generalize. Midsegment relationship is applied, not derived.</t>
        </is>
      </c>
    </row>
    <row r="252">
      <c r="A252" s="2" t="n">
        <v>251</v>
      </c>
      <c r="B252" s="3" t="inlineStr">
        <is>
          <t>BB.4</t>
        </is>
      </c>
      <c r="C252" s="3" t="inlineStr">
        <is>
          <t>Triangles and bisectors</t>
        </is>
      </c>
      <c r="D252" s="3" t="inlineStr">
        <is>
          <t>BB</t>
        </is>
      </c>
      <c r="E252" s="3" t="inlineStr">
        <is>
          <t>Triangles</t>
        </is>
      </c>
      <c r="F252" s="3" t="inlineStr">
        <is>
          <t>Use a defining property as a condition on values</t>
        </is>
      </c>
      <c r="G252" s="3" t="inlineStr">
        <is>
          <t>Constrain</t>
        </is>
      </c>
      <c r="H252" s="3" t="inlineStr"/>
      <c r="I252" s="3" t="inlineStr"/>
      <c r="J252" s="3" t="inlineStr">
        <is>
          <t>Constrain</t>
        </is>
      </c>
      <c r="K252" s="2">
        <f>COUNTA(G252:I252)</f>
        <v/>
      </c>
      <c r="L252" s="2">
        <f>IF(K252&gt;1,"Composed","Atomic")</f>
        <v/>
      </c>
      <c r="M252" s="4" t="inlineStr">
        <is>
          <t>Pass</t>
        </is>
      </c>
      <c r="N252" s="3" t="inlineStr">
        <is>
          <t>Was Constrain+Measure. Same as DD.1.</t>
        </is>
      </c>
    </row>
    <row r="253">
      <c r="A253" s="5" t="n">
        <v>252</v>
      </c>
      <c r="B253" s="6" t="inlineStr">
        <is>
          <t>BB.5</t>
        </is>
      </c>
      <c r="C253" s="6" t="inlineStr">
        <is>
          <t>Identify medians, altitudes, angle bisectors and perpendicular bisectors</t>
        </is>
      </c>
      <c r="D253" s="6" t="inlineStr">
        <is>
          <t>BB</t>
        </is>
      </c>
      <c r="E253" s="6" t="inlineStr">
        <is>
          <t>Triangles</t>
        </is>
      </c>
      <c r="F253" s="6" t="inlineStr">
        <is>
          <t>Name parts by their defining properties</t>
        </is>
      </c>
      <c r="G253" s="6" t="inlineStr">
        <is>
          <t>Identify</t>
        </is>
      </c>
      <c r="H253" s="6" t="inlineStr"/>
      <c r="I253" s="6" t="inlineStr"/>
      <c r="J253" s="6" t="inlineStr">
        <is>
          <t>Identify</t>
        </is>
      </c>
      <c r="K253" s="5">
        <f>COUNTA(G253:I253)</f>
        <v/>
      </c>
      <c r="L253" s="5">
        <f>IF(K253&gt;1,"Composed","Atomic")</f>
        <v/>
      </c>
      <c r="M253" s="4" t="inlineStr">
        <is>
          <t>Pass</t>
        </is>
      </c>
      <c r="N253" s="6" t="inlineStr"/>
    </row>
    <row r="254">
      <c r="A254" s="2" t="n">
        <v>253</v>
      </c>
      <c r="B254" s="3" t="inlineStr">
        <is>
          <t>BB.6</t>
        </is>
      </c>
      <c r="C254" s="3" t="inlineStr">
        <is>
          <t>Angle-side relationships in triangles</t>
        </is>
      </c>
      <c r="D254" s="3" t="inlineStr">
        <is>
          <t>BB</t>
        </is>
      </c>
      <c r="E254" s="3" t="inlineStr">
        <is>
          <t>Triangles</t>
        </is>
      </c>
      <c r="F254" s="3" t="inlineStr">
        <is>
          <t>Order parts by relative magnitude</t>
        </is>
      </c>
      <c r="G254" s="3" t="inlineStr">
        <is>
          <t>Compare</t>
        </is>
      </c>
      <c r="H254" s="3" t="inlineStr"/>
      <c r="I254" s="3" t="inlineStr"/>
      <c r="J254" s="3" t="inlineStr">
        <is>
          <t>Compare</t>
        </is>
      </c>
      <c r="K254" s="2">
        <f>COUNTA(G254:I254)</f>
        <v/>
      </c>
      <c r="L254" s="2">
        <f>IF(K254&gt;1,"Composed","Atomic")</f>
        <v/>
      </c>
      <c r="M254" s="4" t="inlineStr">
        <is>
          <t>Pass</t>
        </is>
      </c>
      <c r="N254" s="3" t="inlineStr"/>
    </row>
    <row r="255">
      <c r="A255" s="5" t="n">
        <v>254</v>
      </c>
      <c r="B255" s="6" t="inlineStr">
        <is>
          <t>BB.7</t>
        </is>
      </c>
      <c r="C255" s="6" t="inlineStr">
        <is>
          <t>Triangle Inequality Theorem</t>
        </is>
      </c>
      <c r="D255" s="6" t="inlineStr">
        <is>
          <t>BB</t>
        </is>
      </c>
      <c r="E255" s="6" t="inlineStr">
        <is>
          <t>Triangles</t>
        </is>
      </c>
      <c r="F255" s="6" t="inlineStr">
        <is>
          <t>Test whether a condition can be satisfied</t>
        </is>
      </c>
      <c r="G255" s="6" t="inlineStr">
        <is>
          <t>Verify</t>
        </is>
      </c>
      <c r="H255" s="6" t="inlineStr"/>
      <c r="I255" s="6" t="inlineStr"/>
      <c r="J255" s="6" t="inlineStr">
        <is>
          <t>Verify</t>
        </is>
      </c>
      <c r="K255" s="5">
        <f>COUNTA(G255:I255)</f>
        <v/>
      </c>
      <c r="L255" s="5">
        <f>IF(K255&gt;1,"Composed","Atomic")</f>
        <v/>
      </c>
      <c r="M255" s="4" t="inlineStr">
        <is>
          <t>Pass</t>
        </is>
      </c>
      <c r="N255" s="6" t="inlineStr">
        <is>
          <t>Was Verify+Compare. The comparison is inside Verify's criterion.</t>
        </is>
      </c>
    </row>
    <row r="256">
      <c r="A256" s="2" t="n">
        <v>255</v>
      </c>
      <c r="B256" s="3" t="inlineStr">
        <is>
          <t>CC.1</t>
        </is>
      </c>
      <c r="C256" s="3" t="inlineStr">
        <is>
          <t>Identify similar figures</t>
        </is>
      </c>
      <c r="D256" s="3" t="inlineStr">
        <is>
          <t>CC</t>
        </is>
      </c>
      <c r="E256" s="3" t="inlineStr">
        <is>
          <t>Similarity</t>
        </is>
      </c>
      <c r="F256" s="3" t="inlineStr">
        <is>
          <t>Judge proportional sameness of structures</t>
        </is>
      </c>
      <c r="G256" s="3" t="inlineStr">
        <is>
          <t>Identify</t>
        </is>
      </c>
      <c r="H256" s="3" t="inlineStr"/>
      <c r="I256" s="3" t="inlineStr"/>
      <c r="J256" s="3" t="inlineStr">
        <is>
          <t>Identify</t>
        </is>
      </c>
      <c r="K256" s="2">
        <f>COUNTA(G256:I256)</f>
        <v/>
      </c>
      <c r="L256" s="2">
        <f>IF(K256&gt;1,"Composed","Atomic")</f>
        <v/>
      </c>
      <c r="M256" s="4" t="inlineStr">
        <is>
          <t>Pass</t>
        </is>
      </c>
      <c r="N256" s="3" t="inlineStr">
        <is>
          <t>Was Identify+Compare. Similarity judgement resolves to Identify.</t>
        </is>
      </c>
    </row>
    <row r="257">
      <c r="A257" s="5" t="n">
        <v>256</v>
      </c>
      <c r="B257" s="6" t="inlineStr">
        <is>
          <t>CC.2</t>
        </is>
      </c>
      <c r="C257" s="6" t="inlineStr">
        <is>
          <t>Ratios in similar figures</t>
        </is>
      </c>
      <c r="D257" s="6" t="inlineStr">
        <is>
          <t>CC</t>
        </is>
      </c>
      <c r="E257" s="6" t="inlineStr">
        <is>
          <t>Similarity</t>
        </is>
      </c>
      <c r="F257" s="6" t="inlineStr">
        <is>
          <t>Quantify the relationship between magnitudes</t>
        </is>
      </c>
      <c r="G257" s="6" t="inlineStr">
        <is>
          <t>Compare</t>
        </is>
      </c>
      <c r="H257" s="6" t="inlineStr"/>
      <c r="I257" s="6" t="inlineStr"/>
      <c r="J257" s="6" t="inlineStr">
        <is>
          <t>Compare</t>
        </is>
      </c>
      <c r="K257" s="5">
        <f>COUNTA(G257:I257)</f>
        <v/>
      </c>
      <c r="L257" s="5">
        <f>IF(K257&gt;1,"Composed","Atomic")</f>
        <v/>
      </c>
      <c r="M257" s="4" t="inlineStr">
        <is>
          <t>Pass</t>
        </is>
      </c>
      <c r="N257" s="6" t="inlineStr">
        <is>
          <t>Was Compare+Measure. Producing the ratio is Compare.</t>
        </is>
      </c>
    </row>
    <row r="258">
      <c r="A258" s="2" t="n">
        <v>257</v>
      </c>
      <c r="B258" s="3" t="inlineStr">
        <is>
          <t>CC.3</t>
        </is>
      </c>
      <c r="C258" s="3" t="inlineStr">
        <is>
          <t>Similarity statements</t>
        </is>
      </c>
      <c r="D258" s="3" t="inlineStr">
        <is>
          <t>CC</t>
        </is>
      </c>
      <c r="E258" s="3" t="inlineStr">
        <is>
          <t>Similarity</t>
        </is>
      </c>
      <c r="F258" s="3" t="inlineStr">
        <is>
          <t>Match parts across two structures</t>
        </is>
      </c>
      <c r="G258" s="3" t="inlineStr">
        <is>
          <t>Compare</t>
        </is>
      </c>
      <c r="H258" s="3" t="inlineStr"/>
      <c r="I258" s="3" t="inlineStr"/>
      <c r="J258" s="3" t="inlineStr">
        <is>
          <t>Compare</t>
        </is>
      </c>
      <c r="K258" s="2">
        <f>COUNTA(G258:I258)</f>
        <v/>
      </c>
      <c r="L258" s="2">
        <f>IF(K258&gt;1,"Composed","Atomic")</f>
        <v/>
      </c>
      <c r="M258" s="4" t="inlineStr">
        <is>
          <t>Pass</t>
        </is>
      </c>
      <c r="N258" s="3" t="inlineStr">
        <is>
          <t>Was Identify+Compare. Matching corresponding parts is Compare.</t>
        </is>
      </c>
    </row>
    <row r="259">
      <c r="A259" s="5" t="n">
        <v>258</v>
      </c>
      <c r="B259" s="6" t="inlineStr">
        <is>
          <t>CC.4</t>
        </is>
      </c>
      <c r="C259" s="6" t="inlineStr">
        <is>
          <t>Side lengths and angle measures in similar figures</t>
        </is>
      </c>
      <c r="D259" s="6" t="inlineStr">
        <is>
          <t>CC</t>
        </is>
      </c>
      <c r="E259" s="6" t="inlineStr">
        <is>
          <t>Similarity</t>
        </is>
      </c>
      <c r="F259" s="6" t="inlineStr">
        <is>
          <t>Use proportionality as a condition on values</t>
        </is>
      </c>
      <c r="G259" s="6" t="inlineStr">
        <is>
          <t>Compare</t>
        </is>
      </c>
      <c r="H259" s="6" t="inlineStr">
        <is>
          <t>Constrain</t>
        </is>
      </c>
      <c r="I259" s="6" t="inlineStr"/>
      <c r="J259" s="6" t="inlineStr">
        <is>
          <t>Compare -&gt; Constrain</t>
        </is>
      </c>
      <c r="K259" s="5">
        <f>COUNTA(G259:I259)</f>
        <v/>
      </c>
      <c r="L259" s="5">
        <f>IF(K259&gt;1,"Composed","Atomic")</f>
        <v/>
      </c>
      <c r="M259" s="4" t="inlineStr">
        <is>
          <t>Pass</t>
        </is>
      </c>
      <c r="N259" s="6" t="inlineStr">
        <is>
          <t>Was Constrain+Compare. Reordered as CC.10/AA.3.</t>
        </is>
      </c>
    </row>
    <row r="260">
      <c r="A260" s="2" t="n">
        <v>259</v>
      </c>
      <c r="B260" s="3" t="inlineStr">
        <is>
          <t>CC.5</t>
        </is>
      </c>
      <c r="C260" s="3" t="inlineStr">
        <is>
          <t>Similar triangles and indirect measurement</t>
        </is>
      </c>
      <c r="D260" s="3" t="inlineStr">
        <is>
          <t>CC</t>
        </is>
      </c>
      <c r="E260" s="3" t="inlineStr">
        <is>
          <t>Similarity</t>
        </is>
      </c>
      <c r="F260" s="3" t="inlineStr">
        <is>
          <t>Use proportionality to quantify an unknown</t>
        </is>
      </c>
      <c r="G260" s="3" t="inlineStr">
        <is>
          <t>Compare</t>
        </is>
      </c>
      <c r="H260" s="3" t="inlineStr">
        <is>
          <t>Measure</t>
        </is>
      </c>
      <c r="I260" s="3" t="inlineStr"/>
      <c r="J260" s="3" t="inlineStr">
        <is>
          <t>Compare -&gt; Measure</t>
        </is>
      </c>
      <c r="K260" s="2">
        <f>COUNTA(G260:I260)</f>
        <v/>
      </c>
      <c r="L260" s="2">
        <f>IF(K260&gt;1,"Composed","Atomic")</f>
        <v/>
      </c>
      <c r="M260" s="4" t="inlineStr">
        <is>
          <t>Pass</t>
        </is>
      </c>
      <c r="N260" s="3" t="inlineStr">
        <is>
          <t>Was Compare+Measure, kept, order made explicit.</t>
        </is>
      </c>
    </row>
    <row r="261">
      <c r="A261" s="5" t="n">
        <v>260</v>
      </c>
      <c r="B261" s="6" t="inlineStr">
        <is>
          <t>CC.6</t>
        </is>
      </c>
      <c r="C261" s="6" t="inlineStr">
        <is>
          <t>Perimeters of similar figures</t>
        </is>
      </c>
      <c r="D261" s="6" t="inlineStr">
        <is>
          <t>CC</t>
        </is>
      </c>
      <c r="E261" s="6" t="inlineStr">
        <is>
          <t>Similarity</t>
        </is>
      </c>
      <c r="F261" s="6" t="inlineStr">
        <is>
          <t>Relate magnitudes by a scale factor</t>
        </is>
      </c>
      <c r="G261" s="6" t="inlineStr">
        <is>
          <t>Compare</t>
        </is>
      </c>
      <c r="H261" s="6" t="inlineStr">
        <is>
          <t>Measure</t>
        </is>
      </c>
      <c r="I261" s="6" t="inlineStr"/>
      <c r="J261" s="6" t="inlineStr">
        <is>
          <t>Compare -&gt; Measure</t>
        </is>
      </c>
      <c r="K261" s="5">
        <f>COUNTA(G261:I261)</f>
        <v/>
      </c>
      <c r="L261" s="5">
        <f>IF(K261&gt;1,"Composed","Atomic")</f>
        <v/>
      </c>
      <c r="M261" s="4" t="inlineStr">
        <is>
          <t>Pass</t>
        </is>
      </c>
      <c r="N261" s="6" t="inlineStr">
        <is>
          <t>Was Compare+Measure, kept.</t>
        </is>
      </c>
    </row>
    <row r="262">
      <c r="A262" s="2" t="n">
        <v>261</v>
      </c>
      <c r="B262" s="3" t="inlineStr">
        <is>
          <t>CC.7</t>
        </is>
      </c>
      <c r="C262" s="3" t="inlineStr">
        <is>
          <t>Similarity rules for triangles</t>
        </is>
      </c>
      <c r="D262" s="3" t="inlineStr">
        <is>
          <t>CC</t>
        </is>
      </c>
      <c r="E262" s="3" t="inlineStr">
        <is>
          <t>Similarity</t>
        </is>
      </c>
      <c r="F262" s="3" t="inlineStr">
        <is>
          <t>Test whether criteria establish similarity</t>
        </is>
      </c>
      <c r="G262" s="3" t="inlineStr">
        <is>
          <t>Verify</t>
        </is>
      </c>
      <c r="H262" s="3" t="inlineStr"/>
      <c r="I262" s="3" t="inlineStr"/>
      <c r="J262" s="3" t="inlineStr">
        <is>
          <t>Verify</t>
        </is>
      </c>
      <c r="K262" s="2">
        <f>COUNTA(G262:I262)</f>
        <v/>
      </c>
      <c r="L262" s="2">
        <f>IF(K262&gt;1,"Composed","Atomic")</f>
        <v/>
      </c>
      <c r="M262" s="4" t="inlineStr">
        <is>
          <t>Pass</t>
        </is>
      </c>
      <c r="N262" s="3" t="inlineStr">
        <is>
          <t>Was Verify+Compare. Same as AA.5.</t>
        </is>
      </c>
    </row>
    <row r="263">
      <c r="A263" s="5" t="n">
        <v>262</v>
      </c>
      <c r="B263" s="6" t="inlineStr">
        <is>
          <t>CC.8</t>
        </is>
      </c>
      <c r="C263" s="6" t="inlineStr">
        <is>
          <t>Similar triangles and similarity transformations</t>
        </is>
      </c>
      <c r="D263" s="6" t="inlineStr">
        <is>
          <t>CC</t>
        </is>
      </c>
      <c r="E263" s="6" t="inlineStr">
        <is>
          <t>Similarity</t>
        </is>
      </c>
      <c r="F263" s="6" t="inlineStr">
        <is>
          <t>Map one figure to another by an operation</t>
        </is>
      </c>
      <c r="G263" s="6" t="inlineStr">
        <is>
          <t>Transform</t>
        </is>
      </c>
      <c r="H263" s="6" t="inlineStr"/>
      <c r="I263" s="6" t="inlineStr"/>
      <c r="J263" s="6" t="inlineStr">
        <is>
          <t>Transform</t>
        </is>
      </c>
      <c r="K263" s="5">
        <f>COUNTA(G263:I263)</f>
        <v/>
      </c>
      <c r="L263" s="5">
        <f>IF(K263&gt;1,"Composed","Atomic")</f>
        <v/>
      </c>
      <c r="M263" s="4" t="inlineStr">
        <is>
          <t>Pass</t>
        </is>
      </c>
      <c r="N263" s="6" t="inlineStr">
        <is>
          <t>Was Transform+Compare. The mapping is the act; comparison is incidental.</t>
        </is>
      </c>
    </row>
    <row r="264">
      <c r="A264" s="2" t="n">
        <v>263</v>
      </c>
      <c r="B264" s="3" t="inlineStr">
        <is>
          <t>CC.9</t>
        </is>
      </c>
      <c r="C264" s="3" t="inlineStr">
        <is>
          <t>Similarity of circles</t>
        </is>
      </c>
      <c r="D264" s="3" t="inlineStr">
        <is>
          <t>CC</t>
        </is>
      </c>
      <c r="E264" s="3" t="inlineStr">
        <is>
          <t>Similarity</t>
        </is>
      </c>
      <c r="F264" s="3" t="inlineStr">
        <is>
          <t>Test whether criteria establish similarity</t>
        </is>
      </c>
      <c r="G264" s="3" t="inlineStr">
        <is>
          <t>Verify</t>
        </is>
      </c>
      <c r="H264" s="3" t="inlineStr"/>
      <c r="I264" s="3" t="inlineStr"/>
      <c r="J264" s="3" t="inlineStr">
        <is>
          <t>Verify</t>
        </is>
      </c>
      <c r="K264" s="2">
        <f>COUNTA(G264:I264)</f>
        <v/>
      </c>
      <c r="L264" s="2">
        <f>IF(K264&gt;1,"Composed","Atomic")</f>
        <v/>
      </c>
      <c r="M264" s="4" t="inlineStr">
        <is>
          <t>Pass</t>
        </is>
      </c>
      <c r="N264" s="3" t="inlineStr">
        <is>
          <t>Was Verify+Compare. Same as AA.5.</t>
        </is>
      </c>
    </row>
    <row r="265">
      <c r="A265" s="5" t="n">
        <v>264</v>
      </c>
      <c r="B265" s="6" t="inlineStr">
        <is>
          <t>CC.10</t>
        </is>
      </c>
      <c r="C265" s="6" t="inlineStr">
        <is>
          <t>Triangle Proportionality Theorem</t>
        </is>
      </c>
      <c r="D265" s="6" t="inlineStr">
        <is>
          <t>CC</t>
        </is>
      </c>
      <c r="E265" s="6" t="inlineStr">
        <is>
          <t>Similarity</t>
        </is>
      </c>
      <c r="F265" s="6" t="inlineStr">
        <is>
          <t>Use proportionality as a condition on values</t>
        </is>
      </c>
      <c r="G265" s="6" t="inlineStr">
        <is>
          <t>Compare</t>
        </is>
      </c>
      <c r="H265" s="6" t="inlineStr">
        <is>
          <t>Constrain</t>
        </is>
      </c>
      <c r="I265" s="6" t="inlineStr"/>
      <c r="J265" s="6" t="inlineStr">
        <is>
          <t>Compare -&gt; Constrain</t>
        </is>
      </c>
      <c r="K265" s="5">
        <f>COUNTA(G265:I265)</f>
        <v/>
      </c>
      <c r="L265" s="5">
        <f>IF(K265&gt;1,"Composed","Atomic")</f>
        <v/>
      </c>
      <c r="M265" s="4" t="inlineStr">
        <is>
          <t>Pass</t>
        </is>
      </c>
      <c r="N265" s="6" t="inlineStr">
        <is>
          <t>Was Constrain+Compare. Reordered.</t>
        </is>
      </c>
    </row>
    <row r="266">
      <c r="A266" s="2" t="n">
        <v>265</v>
      </c>
      <c r="B266" s="3" t="inlineStr">
        <is>
          <t>CC.11</t>
        </is>
      </c>
      <c r="C266" s="3" t="inlineStr">
        <is>
          <t>Areas of similar figures</t>
        </is>
      </c>
      <c r="D266" s="3" t="inlineStr">
        <is>
          <t>CC</t>
        </is>
      </c>
      <c r="E266" s="3" t="inlineStr">
        <is>
          <t>Similarity</t>
        </is>
      </c>
      <c r="F266" s="3" t="inlineStr">
        <is>
          <t>Relate magnitudes by a scale factor</t>
        </is>
      </c>
      <c r="G266" s="3" t="inlineStr">
        <is>
          <t>Compare</t>
        </is>
      </c>
      <c r="H266" s="3" t="inlineStr">
        <is>
          <t>Measure</t>
        </is>
      </c>
      <c r="I266" s="3" t="inlineStr"/>
      <c r="J266" s="3" t="inlineStr">
        <is>
          <t>Compare -&gt; Measure</t>
        </is>
      </c>
      <c r="K266" s="2">
        <f>COUNTA(G266:I266)</f>
        <v/>
      </c>
      <c r="L266" s="2">
        <f>IF(K266&gt;1,"Composed","Atomic")</f>
        <v/>
      </c>
      <c r="M266" s="4" t="inlineStr">
        <is>
          <t>Pass</t>
        </is>
      </c>
      <c r="N266" s="3" t="inlineStr">
        <is>
          <t>Was Compare+Measure, kept.</t>
        </is>
      </c>
    </row>
    <row r="267">
      <c r="A267" s="5" t="n">
        <v>266</v>
      </c>
      <c r="B267" s="6" t="inlineStr">
        <is>
          <t>DD.1</t>
        </is>
      </c>
      <c r="C267" s="6" t="inlineStr">
        <is>
          <t>Pythagorean Theorem</t>
        </is>
      </c>
      <c r="D267" s="6" t="inlineStr">
        <is>
          <t>DD</t>
        </is>
      </c>
      <c r="E267" s="6" t="inlineStr">
        <is>
          <t>Right triangles</t>
        </is>
      </c>
      <c r="F267" s="6" t="inlineStr">
        <is>
          <t>Use a fixed relation to quantify an unknown side</t>
        </is>
      </c>
      <c r="G267" s="6" t="inlineStr">
        <is>
          <t>Constrain</t>
        </is>
      </c>
      <c r="H267" s="6" t="inlineStr"/>
      <c r="I267" s="6" t="inlineStr"/>
      <c r="J267" s="6" t="inlineStr">
        <is>
          <t>Constrain</t>
        </is>
      </c>
      <c r="K267" s="5">
        <f>COUNTA(G267:I267)</f>
        <v/>
      </c>
      <c r="L267" s="5">
        <f>IF(K267&gt;1,"Composed","Atomic")</f>
        <v/>
      </c>
      <c r="M267" s="4" t="inlineStr">
        <is>
          <t>Pass</t>
        </is>
      </c>
      <c r="N267" s="6" t="inlineStr">
        <is>
          <t>Was Constrain+Measure. The relation is Constrain's rule.</t>
        </is>
      </c>
    </row>
    <row r="268">
      <c r="A268" s="2" t="n">
        <v>267</v>
      </c>
      <c r="B268" s="3" t="inlineStr">
        <is>
          <t>DD.2</t>
        </is>
      </c>
      <c r="C268" s="3" t="inlineStr">
        <is>
          <t>Converse of the Pythagorean theorem</t>
        </is>
      </c>
      <c r="D268" s="3" t="inlineStr">
        <is>
          <t>DD</t>
        </is>
      </c>
      <c r="E268" s="3" t="inlineStr">
        <is>
          <t>Right triangles</t>
        </is>
      </c>
      <c r="F268" s="3" t="inlineStr">
        <is>
          <t>Test whether a relation holds to decide a category</t>
        </is>
      </c>
      <c r="G268" s="3" t="inlineStr">
        <is>
          <t>Verify</t>
        </is>
      </c>
      <c r="H268" s="3" t="inlineStr"/>
      <c r="I268" s="3" t="inlineStr"/>
      <c r="J268" s="3" t="inlineStr">
        <is>
          <t>Verify</t>
        </is>
      </c>
      <c r="K268" s="2">
        <f>COUNTA(G268:I268)</f>
        <v/>
      </c>
      <c r="L268" s="2">
        <f>IF(K268&gt;1,"Composed","Atomic")</f>
        <v/>
      </c>
      <c r="M268" s="4" t="inlineStr">
        <is>
          <t>Pass</t>
        </is>
      </c>
      <c r="N268" s="3" t="inlineStr"/>
    </row>
    <row r="269">
      <c r="A269" s="5" t="n">
        <v>268</v>
      </c>
      <c r="B269" s="6" t="inlineStr">
        <is>
          <t>DD.3</t>
        </is>
      </c>
      <c r="C269" s="6" t="inlineStr">
        <is>
          <t>Pythagorean Inequality Theorems</t>
        </is>
      </c>
      <c r="D269" s="6" t="inlineStr">
        <is>
          <t>DD</t>
        </is>
      </c>
      <c r="E269" s="6" t="inlineStr">
        <is>
          <t>Right triangles</t>
        </is>
      </c>
      <c r="F269" s="6" t="inlineStr">
        <is>
          <t>Test a relation to classify a triangle</t>
        </is>
      </c>
      <c r="G269" s="6" t="inlineStr">
        <is>
          <t>Verify</t>
        </is>
      </c>
      <c r="H269" s="6" t="inlineStr"/>
      <c r="I269" s="6" t="inlineStr"/>
      <c r="J269" s="6" t="inlineStr">
        <is>
          <t>Verify</t>
        </is>
      </c>
      <c r="K269" s="5">
        <f>COUNTA(G269:I269)</f>
        <v/>
      </c>
      <c r="L269" s="5">
        <f>IF(K269&gt;1,"Composed","Atomic")</f>
        <v/>
      </c>
      <c r="M269" s="4" t="inlineStr">
        <is>
          <t>Pass</t>
        </is>
      </c>
      <c r="N269" s="6" t="inlineStr">
        <is>
          <t>Was Verify+Compare. Same as AA.5.</t>
        </is>
      </c>
    </row>
    <row r="270">
      <c r="A270" s="2" t="n">
        <v>269</v>
      </c>
      <c r="B270" s="3" t="inlineStr">
        <is>
          <t>DD.4</t>
        </is>
      </c>
      <c r="C270" s="3" t="inlineStr">
        <is>
          <t>Special right triangles</t>
        </is>
      </c>
      <c r="D270" s="3" t="inlineStr">
        <is>
          <t>DD</t>
        </is>
      </c>
      <c r="E270" s="3" t="inlineStr">
        <is>
          <t>Right triangles</t>
        </is>
      </c>
      <c r="F270" s="3" t="inlineStr">
        <is>
          <t>Apply a known ratio pattern to quantify sides</t>
        </is>
      </c>
      <c r="G270" s="3" t="inlineStr">
        <is>
          <t>Measure</t>
        </is>
      </c>
      <c r="H270" s="3" t="inlineStr"/>
      <c r="I270" s="3" t="inlineStr"/>
      <c r="J270" s="3" t="inlineStr">
        <is>
          <t>Measure</t>
        </is>
      </c>
      <c r="K270" s="2">
        <f>COUNTA(G270:I270)</f>
        <v/>
      </c>
      <c r="L270" s="2">
        <f>IF(K270&gt;1,"Composed","Atomic")</f>
        <v/>
      </c>
      <c r="M270" s="4" t="inlineStr">
        <is>
          <t>Pass</t>
        </is>
      </c>
      <c r="N270" s="3" t="inlineStr">
        <is>
          <t>Was Measure+Generalize. Special-triangle ratios are recalled, not inferred.</t>
        </is>
      </c>
    </row>
    <row r="271">
      <c r="A271" s="5" t="n">
        <v>270</v>
      </c>
      <c r="B271" s="6" t="inlineStr">
        <is>
          <t>EE.1</t>
        </is>
      </c>
      <c r="C271" s="6" t="inlineStr">
        <is>
          <t>Trigonometric ratios: sin, cos and tan</t>
        </is>
      </c>
      <c r="D271" s="6" t="inlineStr">
        <is>
          <t>EE</t>
        </is>
      </c>
      <c r="E271" s="6" t="inlineStr">
        <is>
          <t>Trigonometry</t>
        </is>
      </c>
      <c r="F271" s="6" t="inlineStr">
        <is>
          <t>Express a side relationship as a named ratio</t>
        </is>
      </c>
      <c r="G271" s="6" t="inlineStr">
        <is>
          <t>Represent</t>
        </is>
      </c>
      <c r="H271" s="6" t="inlineStr"/>
      <c r="I271" s="6" t="inlineStr"/>
      <c r="J271" s="6" t="inlineStr">
        <is>
          <t>Represent</t>
        </is>
      </c>
      <c r="K271" s="5">
        <f>COUNTA(G271:I271)</f>
        <v/>
      </c>
      <c r="L271" s="5">
        <f>IF(K271&gt;1,"Composed","Atomic")</f>
        <v/>
      </c>
      <c r="M271" s="4" t="inlineStr">
        <is>
          <t>Pass</t>
        </is>
      </c>
      <c r="N271" s="6" t="inlineStr">
        <is>
          <t>Was Represent+Measure. Setting up the named ratio is Represent.</t>
        </is>
      </c>
    </row>
    <row r="272">
      <c r="A272" s="2" t="n">
        <v>271</v>
      </c>
      <c r="B272" s="3" t="inlineStr">
        <is>
          <t>EE.2</t>
        </is>
      </c>
      <c r="C272" s="3" t="inlineStr">
        <is>
          <t>Trigonometric ratios: csc, sec and cot</t>
        </is>
      </c>
      <c r="D272" s="3" t="inlineStr">
        <is>
          <t>EE</t>
        </is>
      </c>
      <c r="E272" s="3" t="inlineStr">
        <is>
          <t>Trigonometry</t>
        </is>
      </c>
      <c r="F272" s="3" t="inlineStr">
        <is>
          <t>Express a side relationship as a named ratio</t>
        </is>
      </c>
      <c r="G272" s="3" t="inlineStr">
        <is>
          <t>Represent</t>
        </is>
      </c>
      <c r="H272" s="3" t="inlineStr"/>
      <c r="I272" s="3" t="inlineStr"/>
      <c r="J272" s="3" t="inlineStr">
        <is>
          <t>Represent</t>
        </is>
      </c>
      <c r="K272" s="2">
        <f>COUNTA(G272:I272)</f>
        <v/>
      </c>
      <c r="L272" s="2">
        <f>IF(K272&gt;1,"Composed","Atomic")</f>
        <v/>
      </c>
      <c r="M272" s="4" t="inlineStr">
        <is>
          <t>Pass</t>
        </is>
      </c>
      <c r="N272" s="3" t="inlineStr">
        <is>
          <t>Was Represent+Measure. Same as EE.1.</t>
        </is>
      </c>
    </row>
    <row r="273">
      <c r="A273" s="5" t="n">
        <v>272</v>
      </c>
      <c r="B273" s="6" t="inlineStr">
        <is>
          <t>EE.3</t>
        </is>
      </c>
      <c r="C273" s="6" t="inlineStr">
        <is>
          <t>Find trigonometric functions of special angles</t>
        </is>
      </c>
      <c r="D273" s="6" t="inlineStr">
        <is>
          <t>EE</t>
        </is>
      </c>
      <c r="E273" s="6" t="inlineStr">
        <is>
          <t>Trigonometry</t>
        </is>
      </c>
      <c r="F273" s="6" t="inlineStr">
        <is>
          <t>Recall/derive a value from a known pattern</t>
        </is>
      </c>
      <c r="G273" s="6" t="inlineStr">
        <is>
          <t>Measure</t>
        </is>
      </c>
      <c r="H273" s="6" t="inlineStr"/>
      <c r="I273" s="6" t="inlineStr"/>
      <c r="J273" s="6" t="inlineStr">
        <is>
          <t>Measure</t>
        </is>
      </c>
      <c r="K273" s="5">
        <f>COUNTA(G273:I273)</f>
        <v/>
      </c>
      <c r="L273" s="5">
        <f>IF(K273&gt;1,"Composed","Atomic")</f>
        <v/>
      </c>
      <c r="M273" s="4" t="inlineStr">
        <is>
          <t>Pass</t>
        </is>
      </c>
      <c r="N273" s="6" t="inlineStr">
        <is>
          <t>Was Identify+Measure. Producing the value is Measure.</t>
        </is>
      </c>
    </row>
    <row r="274">
      <c r="A274" s="2" t="n">
        <v>273</v>
      </c>
      <c r="B274" s="3" t="inlineStr">
        <is>
          <t>EE.4</t>
        </is>
      </c>
      <c r="C274" s="3" t="inlineStr">
        <is>
          <t>Find trigonometric functions using a calculator</t>
        </is>
      </c>
      <c r="D274" s="3" t="inlineStr">
        <is>
          <t>EE</t>
        </is>
      </c>
      <c r="E274" s="3" t="inlineStr">
        <is>
          <t>Trigonometry</t>
        </is>
      </c>
      <c r="F274" s="3" t="inlineStr">
        <is>
          <t>Quantify a ratio for a given angle</t>
        </is>
      </c>
      <c r="G274" s="3" t="inlineStr">
        <is>
          <t>Measure</t>
        </is>
      </c>
      <c r="H274" s="3" t="inlineStr"/>
      <c r="I274" s="3" t="inlineStr"/>
      <c r="J274" s="3" t="inlineStr">
        <is>
          <t>Measure</t>
        </is>
      </c>
      <c r="K274" s="2">
        <f>COUNTA(G274:I274)</f>
        <v/>
      </c>
      <c r="L274" s="2">
        <f>IF(K274&gt;1,"Composed","Atomic")</f>
        <v/>
      </c>
      <c r="M274" s="4" t="inlineStr">
        <is>
          <t>Pass</t>
        </is>
      </c>
      <c r="N274" s="3" t="inlineStr"/>
    </row>
    <row r="275">
      <c r="A275" s="5" t="n">
        <v>274</v>
      </c>
      <c r="B275" s="6" t="inlineStr">
        <is>
          <t>EE.5</t>
        </is>
      </c>
      <c r="C275" s="6" t="inlineStr">
        <is>
          <t>Inverses of trigonometric functions</t>
        </is>
      </c>
      <c r="D275" s="6" t="inlineStr">
        <is>
          <t>EE</t>
        </is>
      </c>
      <c r="E275" s="6" t="inlineStr">
        <is>
          <t>Trigonometry</t>
        </is>
      </c>
      <c r="F275" s="6" t="inlineStr">
        <is>
          <t>Rewrite a ratio back into an angle</t>
        </is>
      </c>
      <c r="G275" s="6" t="inlineStr">
        <is>
          <t>Transform</t>
        </is>
      </c>
      <c r="H275" s="6" t="inlineStr"/>
      <c r="I275" s="6" t="inlineStr"/>
      <c r="J275" s="6" t="inlineStr">
        <is>
          <t>Transform</t>
        </is>
      </c>
      <c r="K275" s="5">
        <f>COUNTA(G275:I275)</f>
        <v/>
      </c>
      <c r="L275" s="5">
        <f>IF(K275&gt;1,"Composed","Atomic")</f>
        <v/>
      </c>
      <c r="M275" s="4" t="inlineStr">
        <is>
          <t>Pass</t>
        </is>
      </c>
      <c r="N275" s="6" t="inlineStr">
        <is>
          <t>Was Transform+Measure. Inverse trig is Transform.</t>
        </is>
      </c>
    </row>
    <row r="276">
      <c r="A276" s="2" t="n">
        <v>275</v>
      </c>
      <c r="B276" s="3" t="inlineStr">
        <is>
          <t>EE.6</t>
        </is>
      </c>
      <c r="C276" s="3" t="inlineStr">
        <is>
          <t>Trigonometric ratios: find a side length</t>
        </is>
      </c>
      <c r="D276" s="3" t="inlineStr">
        <is>
          <t>EE</t>
        </is>
      </c>
      <c r="E276" s="3" t="inlineStr">
        <is>
          <t>Trigonometry</t>
        </is>
      </c>
      <c r="F276" s="3" t="inlineStr">
        <is>
          <t>Use a ratio condition to recover a value</t>
        </is>
      </c>
      <c r="G276" s="3" t="inlineStr">
        <is>
          <t>Constrain</t>
        </is>
      </c>
      <c r="H276" s="3" t="inlineStr"/>
      <c r="I276" s="3" t="inlineStr"/>
      <c r="J276" s="3" t="inlineStr">
        <is>
          <t>Constrain</t>
        </is>
      </c>
      <c r="K276" s="2">
        <f>COUNTA(G276:I276)</f>
        <v/>
      </c>
      <c r="L276" s="2">
        <f>IF(K276&gt;1,"Composed","Atomic")</f>
        <v/>
      </c>
      <c r="M276" s="4" t="inlineStr">
        <is>
          <t>Pass</t>
        </is>
      </c>
      <c r="N276" s="3" t="inlineStr">
        <is>
          <t>Was Constrain+Measure. Same as DD.1.</t>
        </is>
      </c>
    </row>
    <row r="277">
      <c r="A277" s="5" t="n">
        <v>276</v>
      </c>
      <c r="B277" s="6" t="inlineStr">
        <is>
          <t>EE.7</t>
        </is>
      </c>
      <c r="C277" s="6" t="inlineStr">
        <is>
          <t>Trigonometric ratios: find an angle measure</t>
        </is>
      </c>
      <c r="D277" s="6" t="inlineStr">
        <is>
          <t>EE</t>
        </is>
      </c>
      <c r="E277" s="6" t="inlineStr">
        <is>
          <t>Trigonometry</t>
        </is>
      </c>
      <c r="F277" s="6" t="inlineStr">
        <is>
          <t>Use a ratio condition to recover a value</t>
        </is>
      </c>
      <c r="G277" s="6" t="inlineStr">
        <is>
          <t>Constrain</t>
        </is>
      </c>
      <c r="H277" s="6" t="inlineStr"/>
      <c r="I277" s="6" t="inlineStr"/>
      <c r="J277" s="6" t="inlineStr">
        <is>
          <t>Constrain</t>
        </is>
      </c>
      <c r="K277" s="5">
        <f>COUNTA(G277:I277)</f>
        <v/>
      </c>
      <c r="L277" s="5">
        <f>IF(K277&gt;1,"Composed","Atomic")</f>
        <v/>
      </c>
      <c r="M277" s="4" t="inlineStr">
        <is>
          <t>Pass</t>
        </is>
      </c>
      <c r="N277" s="6" t="inlineStr">
        <is>
          <t>Was Constrain+Measure. Same as DD.1.</t>
        </is>
      </c>
    </row>
    <row r="278">
      <c r="A278" s="2" t="n">
        <v>277</v>
      </c>
      <c r="B278" s="3" t="inlineStr">
        <is>
          <t>EE.8</t>
        </is>
      </c>
      <c r="C278" s="3" t="inlineStr">
        <is>
          <t>Solve a right triangle</t>
        </is>
      </c>
      <c r="D278" s="3" t="inlineStr">
        <is>
          <t>EE</t>
        </is>
      </c>
      <c r="E278" s="3" t="inlineStr">
        <is>
          <t>Trigonometry</t>
        </is>
      </c>
      <c r="F278" s="3" t="inlineStr">
        <is>
          <t>Satisfy all relations to recover every part</t>
        </is>
      </c>
      <c r="G278" s="3" t="inlineStr">
        <is>
          <t>Constrain</t>
        </is>
      </c>
      <c r="H278" s="3" t="inlineStr"/>
      <c r="I278" s="3" t="inlineStr"/>
      <c r="J278" s="3" t="inlineStr">
        <is>
          <t>Constrain</t>
        </is>
      </c>
      <c r="K278" s="2">
        <f>COUNTA(G278:I278)</f>
        <v/>
      </c>
      <c r="L278" s="2">
        <f>IF(K278&gt;1,"Composed","Atomic")</f>
        <v/>
      </c>
      <c r="M278" s="4" t="inlineStr">
        <is>
          <t>Pass</t>
        </is>
      </c>
      <c r="N278" s="3" t="inlineStr">
        <is>
          <t>Was Constrain+Measure. Same as DD.1.</t>
        </is>
      </c>
    </row>
    <row r="279">
      <c r="A279" s="5" t="n">
        <v>278</v>
      </c>
      <c r="B279" s="6" t="inlineStr">
        <is>
          <t>FF.1</t>
        </is>
      </c>
      <c r="C279" s="6" t="inlineStr">
        <is>
          <t>Translations: graph the image</t>
        </is>
      </c>
      <c r="D279" s="6" t="inlineStr">
        <is>
          <t>FF</t>
        </is>
      </c>
      <c r="E279" s="6" t="inlineStr">
        <is>
          <t>Transformations</t>
        </is>
      </c>
      <c r="F279" s="6" t="inlineStr">
        <is>
          <t>Map a figure to its image under an operation</t>
        </is>
      </c>
      <c r="G279" s="6" t="inlineStr">
        <is>
          <t>Transform</t>
        </is>
      </c>
      <c r="H279" s="6" t="inlineStr">
        <is>
          <t>Represent</t>
        </is>
      </c>
      <c r="I279" s="6" t="inlineStr"/>
      <c r="J279" s="6" t="inlineStr">
        <is>
          <t>Transform -&gt; Represent</t>
        </is>
      </c>
      <c r="K279" s="5">
        <f>COUNTA(G279:I279)</f>
        <v/>
      </c>
      <c r="L279" s="5">
        <f>IF(K279&gt;1,"Composed","Atomic")</f>
        <v/>
      </c>
      <c r="M279" s="4" t="inlineStr">
        <is>
          <t>Pass</t>
        </is>
      </c>
      <c r="N279" s="6" t="inlineStr"/>
    </row>
    <row r="280">
      <c r="A280" s="2" t="n">
        <v>279</v>
      </c>
      <c r="B280" s="3" t="inlineStr">
        <is>
          <t>FF.2</t>
        </is>
      </c>
      <c r="C280" s="3" t="inlineStr">
        <is>
          <t>Translations: find the coordinates</t>
        </is>
      </c>
      <c r="D280" s="3" t="inlineStr">
        <is>
          <t>FF</t>
        </is>
      </c>
      <c r="E280" s="3" t="inlineStr">
        <is>
          <t>Transformations</t>
        </is>
      </c>
      <c r="F280" s="3" t="inlineStr">
        <is>
          <t>Map points to images under an operation</t>
        </is>
      </c>
      <c r="G280" s="3" t="inlineStr">
        <is>
          <t>Transform</t>
        </is>
      </c>
      <c r="H280" s="3" t="inlineStr"/>
      <c r="I280" s="3" t="inlineStr"/>
      <c r="J280" s="3" t="inlineStr">
        <is>
          <t>Transform</t>
        </is>
      </c>
      <c r="K280" s="2">
        <f>COUNTA(G280:I280)</f>
        <v/>
      </c>
      <c r="L280" s="2">
        <f>IF(K280&gt;1,"Composed","Atomic")</f>
        <v/>
      </c>
      <c r="M280" s="4" t="inlineStr">
        <is>
          <t>Pass</t>
        </is>
      </c>
      <c r="N280" s="3" t="inlineStr"/>
    </row>
    <row r="281">
      <c r="A281" s="5" t="n">
        <v>280</v>
      </c>
      <c r="B281" s="6" t="inlineStr">
        <is>
          <t>FF.3</t>
        </is>
      </c>
      <c r="C281" s="6" t="inlineStr">
        <is>
          <t>Translations: write the rule</t>
        </is>
      </c>
      <c r="D281" s="6" t="inlineStr">
        <is>
          <t>FF</t>
        </is>
      </c>
      <c r="E281" s="6" t="inlineStr">
        <is>
          <t>Transformations</t>
        </is>
      </c>
      <c r="F281" s="6" t="inlineStr">
        <is>
          <t>Infer the general operation from cases</t>
        </is>
      </c>
      <c r="G281" s="6" t="inlineStr">
        <is>
          <t>Generalize</t>
        </is>
      </c>
      <c r="H281" s="6" t="inlineStr"/>
      <c r="I281" s="6" t="inlineStr"/>
      <c r="J281" s="6" t="inlineStr">
        <is>
          <t>Generalize</t>
        </is>
      </c>
      <c r="K281" s="5">
        <f>COUNTA(G281:I281)</f>
        <v/>
      </c>
      <c r="L281" s="5">
        <f>IF(K281&gt;1,"Composed","Atomic")</f>
        <v/>
      </c>
      <c r="M281" s="4" t="inlineStr">
        <is>
          <t>Pass</t>
        </is>
      </c>
      <c r="N281" s="6" t="inlineStr">
        <is>
          <t>Was Generalize+Transform. Inferring the rule is the whole act.</t>
        </is>
      </c>
    </row>
    <row r="282">
      <c r="A282" s="2" t="n">
        <v>281</v>
      </c>
      <c r="B282" s="3" t="inlineStr">
        <is>
          <t>FF.4</t>
        </is>
      </c>
      <c r="C282" s="3" t="inlineStr">
        <is>
          <t>Reflections: graph the image</t>
        </is>
      </c>
      <c r="D282" s="3" t="inlineStr">
        <is>
          <t>FF</t>
        </is>
      </c>
      <c r="E282" s="3" t="inlineStr">
        <is>
          <t>Transformations</t>
        </is>
      </c>
      <c r="F282" s="3" t="inlineStr">
        <is>
          <t>Map a figure to its image under an operation</t>
        </is>
      </c>
      <c r="G282" s="3" t="inlineStr">
        <is>
          <t>Transform</t>
        </is>
      </c>
      <c r="H282" s="3" t="inlineStr">
        <is>
          <t>Represent</t>
        </is>
      </c>
      <c r="I282" s="3" t="inlineStr"/>
      <c r="J282" s="3" t="inlineStr">
        <is>
          <t>Transform -&gt; Represent</t>
        </is>
      </c>
      <c r="K282" s="2">
        <f>COUNTA(G282:I282)</f>
        <v/>
      </c>
      <c r="L282" s="2">
        <f>IF(K282&gt;1,"Composed","Atomic")</f>
        <v/>
      </c>
      <c r="M282" s="4" t="inlineStr">
        <is>
          <t>Pass</t>
        </is>
      </c>
      <c r="N282" s="3" t="inlineStr"/>
    </row>
    <row r="283">
      <c r="A283" s="5" t="n">
        <v>282</v>
      </c>
      <c r="B283" s="6" t="inlineStr">
        <is>
          <t>FF.5</t>
        </is>
      </c>
      <c r="C283" s="6" t="inlineStr">
        <is>
          <t>Reflections: find the coordinates</t>
        </is>
      </c>
      <c r="D283" s="6" t="inlineStr">
        <is>
          <t>FF</t>
        </is>
      </c>
      <c r="E283" s="6" t="inlineStr">
        <is>
          <t>Transformations</t>
        </is>
      </c>
      <c r="F283" s="6" t="inlineStr">
        <is>
          <t>Map points to images under an operation</t>
        </is>
      </c>
      <c r="G283" s="6" t="inlineStr">
        <is>
          <t>Transform</t>
        </is>
      </c>
      <c r="H283" s="6" t="inlineStr"/>
      <c r="I283" s="6" t="inlineStr"/>
      <c r="J283" s="6" t="inlineStr">
        <is>
          <t>Transform</t>
        </is>
      </c>
      <c r="K283" s="5">
        <f>COUNTA(G283:I283)</f>
        <v/>
      </c>
      <c r="L283" s="5">
        <f>IF(K283&gt;1,"Composed","Atomic")</f>
        <v/>
      </c>
      <c r="M283" s="4" t="inlineStr">
        <is>
          <t>Pass</t>
        </is>
      </c>
      <c r="N283" s="6" t="inlineStr"/>
    </row>
    <row r="284">
      <c r="A284" s="2" t="n">
        <v>283</v>
      </c>
      <c r="B284" s="3" t="inlineStr">
        <is>
          <t>FF.6</t>
        </is>
      </c>
      <c r="C284" s="3" t="inlineStr">
        <is>
          <t>Rotate polygons about a point</t>
        </is>
      </c>
      <c r="D284" s="3" t="inlineStr">
        <is>
          <t>FF</t>
        </is>
      </c>
      <c r="E284" s="3" t="inlineStr">
        <is>
          <t>Transformations</t>
        </is>
      </c>
      <c r="F284" s="3" t="inlineStr">
        <is>
          <t>Map a figure to its image under an operation</t>
        </is>
      </c>
      <c r="G284" s="3" t="inlineStr">
        <is>
          <t>Transform</t>
        </is>
      </c>
      <c r="H284" s="3" t="inlineStr"/>
      <c r="I284" s="3" t="inlineStr"/>
      <c r="J284" s="3" t="inlineStr">
        <is>
          <t>Transform</t>
        </is>
      </c>
      <c r="K284" s="2">
        <f>COUNTA(G284:I284)</f>
        <v/>
      </c>
      <c r="L284" s="2">
        <f>IF(K284&gt;1,"Composed","Atomic")</f>
        <v/>
      </c>
      <c r="M284" s="4" t="inlineStr">
        <is>
          <t>Pass</t>
        </is>
      </c>
      <c r="N284" s="3" t="inlineStr"/>
    </row>
    <row r="285">
      <c r="A285" s="5" t="n">
        <v>284</v>
      </c>
      <c r="B285" s="6" t="inlineStr">
        <is>
          <t>FF.7</t>
        </is>
      </c>
      <c r="C285" s="6" t="inlineStr">
        <is>
          <t>Rotations: graph the image</t>
        </is>
      </c>
      <c r="D285" s="6" t="inlineStr">
        <is>
          <t>FF</t>
        </is>
      </c>
      <c r="E285" s="6" t="inlineStr">
        <is>
          <t>Transformations</t>
        </is>
      </c>
      <c r="F285" s="6" t="inlineStr">
        <is>
          <t>Map a figure to its image under an operation</t>
        </is>
      </c>
      <c r="G285" s="6" t="inlineStr">
        <is>
          <t>Transform</t>
        </is>
      </c>
      <c r="H285" s="6" t="inlineStr">
        <is>
          <t>Represent</t>
        </is>
      </c>
      <c r="I285" s="6" t="inlineStr"/>
      <c r="J285" s="6" t="inlineStr">
        <is>
          <t>Transform -&gt; Represent</t>
        </is>
      </c>
      <c r="K285" s="5">
        <f>COUNTA(G285:I285)</f>
        <v/>
      </c>
      <c r="L285" s="5">
        <f>IF(K285&gt;1,"Composed","Atomic")</f>
        <v/>
      </c>
      <c r="M285" s="4" t="inlineStr">
        <is>
          <t>Pass</t>
        </is>
      </c>
      <c r="N285" s="6" t="inlineStr"/>
    </row>
    <row r="286">
      <c r="A286" s="2" t="n">
        <v>285</v>
      </c>
      <c r="B286" s="3" t="inlineStr">
        <is>
          <t>FF.8</t>
        </is>
      </c>
      <c r="C286" s="3" t="inlineStr">
        <is>
          <t>Rotations: find the coordinates</t>
        </is>
      </c>
      <c r="D286" s="3" t="inlineStr">
        <is>
          <t>FF</t>
        </is>
      </c>
      <c r="E286" s="3" t="inlineStr">
        <is>
          <t>Transformations</t>
        </is>
      </c>
      <c r="F286" s="3" t="inlineStr">
        <is>
          <t>Map points to images under an operation</t>
        </is>
      </c>
      <c r="G286" s="3" t="inlineStr">
        <is>
          <t>Transform</t>
        </is>
      </c>
      <c r="H286" s="3" t="inlineStr"/>
      <c r="I286" s="3" t="inlineStr"/>
      <c r="J286" s="3" t="inlineStr">
        <is>
          <t>Transform</t>
        </is>
      </c>
      <c r="K286" s="2">
        <f>COUNTA(G286:I286)</f>
        <v/>
      </c>
      <c r="L286" s="2">
        <f>IF(K286&gt;1,"Composed","Atomic")</f>
        <v/>
      </c>
      <c r="M286" s="4" t="inlineStr">
        <is>
          <t>Pass</t>
        </is>
      </c>
      <c r="N286" s="3" t="inlineStr"/>
    </row>
    <row r="287">
      <c r="A287" s="5" t="n">
        <v>286</v>
      </c>
      <c r="B287" s="6" t="inlineStr">
        <is>
          <t>FF.9</t>
        </is>
      </c>
      <c r="C287" s="6" t="inlineStr">
        <is>
          <t>Classify congruence transformations</t>
        </is>
      </c>
      <c r="D287" s="6" t="inlineStr">
        <is>
          <t>FF</t>
        </is>
      </c>
      <c r="E287" s="6" t="inlineStr">
        <is>
          <t>Transformations</t>
        </is>
      </c>
      <c r="F287" s="6" t="inlineStr">
        <is>
          <t>Assign an operation to a category</t>
        </is>
      </c>
      <c r="G287" s="6" t="inlineStr">
        <is>
          <t>Identify</t>
        </is>
      </c>
      <c r="H287" s="6" t="inlineStr"/>
      <c r="I287" s="6" t="inlineStr"/>
      <c r="J287" s="6" t="inlineStr">
        <is>
          <t>Identify</t>
        </is>
      </c>
      <c r="K287" s="5">
        <f>COUNTA(G287:I287)</f>
        <v/>
      </c>
      <c r="L287" s="5">
        <f>IF(K287&gt;1,"Composed","Atomic")</f>
        <v/>
      </c>
      <c r="M287" s="4" t="inlineStr">
        <is>
          <t>Pass</t>
        </is>
      </c>
      <c r="N287" s="6" t="inlineStr"/>
    </row>
    <row r="288">
      <c r="A288" s="2" t="n">
        <v>287</v>
      </c>
      <c r="B288" s="3" t="inlineStr">
        <is>
          <t>FF.10</t>
        </is>
      </c>
      <c r="C288" s="3" t="inlineStr">
        <is>
          <t>Compositions of congruence transformations: graph the image</t>
        </is>
      </c>
      <c r="D288" s="3" t="inlineStr">
        <is>
          <t>FF</t>
        </is>
      </c>
      <c r="E288" s="3" t="inlineStr">
        <is>
          <t>Transformations</t>
        </is>
      </c>
      <c r="F288" s="3" t="inlineStr">
        <is>
          <t>Chain operations into a single combined one</t>
        </is>
      </c>
      <c r="G288" s="3" t="inlineStr">
        <is>
          <t>Compose</t>
        </is>
      </c>
      <c r="H288" s="3" t="inlineStr">
        <is>
          <t>Transform</t>
        </is>
      </c>
      <c r="I288" s="3" t="inlineStr">
        <is>
          <t>Represent</t>
        </is>
      </c>
      <c r="J288" s="3" t="inlineStr">
        <is>
          <t>Compose -&gt; Transform -&gt; Represent</t>
        </is>
      </c>
      <c r="K288" s="2">
        <f>COUNTA(G288:I288)</f>
        <v/>
      </c>
      <c r="L288" s="2">
        <f>IF(K288&gt;1,"Composed","Atomic")</f>
        <v/>
      </c>
      <c r="M288" s="4" t="inlineStr">
        <is>
          <t>Pass</t>
        </is>
      </c>
      <c r="N288" s="3" t="inlineStr">
        <is>
          <t>Was Compose+Transform. Cap hid the graphing step.</t>
        </is>
      </c>
    </row>
    <row r="289">
      <c r="A289" s="5" t="n">
        <v>288</v>
      </c>
      <c r="B289" s="6" t="inlineStr">
        <is>
          <t>FF.11</t>
        </is>
      </c>
      <c r="C289" s="6" t="inlineStr">
        <is>
          <t>Transformations that carry a polygon onto itself</t>
        </is>
      </c>
      <c r="D289" s="6" t="inlineStr">
        <is>
          <t>FF</t>
        </is>
      </c>
      <c r="E289" s="6" t="inlineStr">
        <is>
          <t>Transformations</t>
        </is>
      </c>
      <c r="F289" s="6" t="inlineStr">
        <is>
          <t>Find operations satisfying an invariance condition</t>
        </is>
      </c>
      <c r="G289" s="6" t="inlineStr">
        <is>
          <t>Constrain</t>
        </is>
      </c>
      <c r="H289" s="6" t="inlineStr"/>
      <c r="I289" s="6" t="inlineStr"/>
      <c r="J289" s="6" t="inlineStr">
        <is>
          <t>Constrain</t>
        </is>
      </c>
      <c r="K289" s="5">
        <f>COUNTA(G289:I289)</f>
        <v/>
      </c>
      <c r="L289" s="5">
        <f>IF(K289&gt;1,"Composed","Atomic")</f>
        <v/>
      </c>
      <c r="M289" s="4" t="inlineStr">
        <is>
          <t>Pass</t>
        </is>
      </c>
      <c r="N289" s="6" t="inlineStr"/>
    </row>
    <row r="290">
      <c r="A290" s="2" t="n">
        <v>289</v>
      </c>
      <c r="B290" s="3" t="inlineStr">
        <is>
          <t>FF.12</t>
        </is>
      </c>
      <c r="C290" s="3" t="inlineStr">
        <is>
          <t>Congruence transformations: mixed review</t>
        </is>
      </c>
      <c r="D290" s="3" t="inlineStr">
        <is>
          <t>FF</t>
        </is>
      </c>
      <c r="E290" s="3" t="inlineStr">
        <is>
          <t>Transformations</t>
        </is>
      </c>
      <c r="F290" s="3" t="inlineStr">
        <is>
          <t>Map a figure to its image under an operation</t>
        </is>
      </c>
      <c r="G290" s="3" t="inlineStr">
        <is>
          <t>Transform</t>
        </is>
      </c>
      <c r="H290" s="3" t="inlineStr"/>
      <c r="I290" s="3" t="inlineStr"/>
      <c r="J290" s="3" t="inlineStr">
        <is>
          <t>Transform</t>
        </is>
      </c>
      <c r="K290" s="2">
        <f>COUNTA(G290:I290)</f>
        <v/>
      </c>
      <c r="L290" s="2">
        <f>IF(K290&gt;1,"Composed","Atomic")</f>
        <v/>
      </c>
      <c r="M290" s="4" t="inlineStr">
        <is>
          <t>Pass</t>
        </is>
      </c>
      <c r="N290" s="3" t="inlineStr"/>
    </row>
    <row r="291">
      <c r="A291" s="5" t="n">
        <v>290</v>
      </c>
      <c r="B291" s="6" t="inlineStr">
        <is>
          <t>FF.13</t>
        </is>
      </c>
      <c r="C291" s="6" t="inlineStr">
        <is>
          <t>Dilations: graph the image</t>
        </is>
      </c>
      <c r="D291" s="6" t="inlineStr">
        <is>
          <t>FF</t>
        </is>
      </c>
      <c r="E291" s="6" t="inlineStr">
        <is>
          <t>Transformations</t>
        </is>
      </c>
      <c r="F291" s="6" t="inlineStr">
        <is>
          <t>Map a figure to its image under an operation</t>
        </is>
      </c>
      <c r="G291" s="6" t="inlineStr">
        <is>
          <t>Transform</t>
        </is>
      </c>
      <c r="H291" s="6" t="inlineStr">
        <is>
          <t>Represent</t>
        </is>
      </c>
      <c r="I291" s="6" t="inlineStr"/>
      <c r="J291" s="6" t="inlineStr">
        <is>
          <t>Transform -&gt; Represent</t>
        </is>
      </c>
      <c r="K291" s="5">
        <f>COUNTA(G291:I291)</f>
        <v/>
      </c>
      <c r="L291" s="5">
        <f>IF(K291&gt;1,"Composed","Atomic")</f>
        <v/>
      </c>
      <c r="M291" s="4" t="inlineStr">
        <is>
          <t>Pass</t>
        </is>
      </c>
      <c r="N291" s="6" t="inlineStr"/>
    </row>
    <row r="292">
      <c r="A292" s="2" t="n">
        <v>291</v>
      </c>
      <c r="B292" s="3" t="inlineStr">
        <is>
          <t>FF.14</t>
        </is>
      </c>
      <c r="C292" s="3" t="inlineStr">
        <is>
          <t>Dilations: find the coordinates</t>
        </is>
      </c>
      <c r="D292" s="3" t="inlineStr">
        <is>
          <t>FF</t>
        </is>
      </c>
      <c r="E292" s="3" t="inlineStr">
        <is>
          <t>Transformations</t>
        </is>
      </c>
      <c r="F292" s="3" t="inlineStr">
        <is>
          <t>Map points to images under an operation</t>
        </is>
      </c>
      <c r="G292" s="3" t="inlineStr">
        <is>
          <t>Transform</t>
        </is>
      </c>
      <c r="H292" s="3" t="inlineStr"/>
      <c r="I292" s="3" t="inlineStr"/>
      <c r="J292" s="3" t="inlineStr">
        <is>
          <t>Transform</t>
        </is>
      </c>
      <c r="K292" s="2">
        <f>COUNTA(G292:I292)</f>
        <v/>
      </c>
      <c r="L292" s="2">
        <f>IF(K292&gt;1,"Composed","Atomic")</f>
        <v/>
      </c>
      <c r="M292" s="4" t="inlineStr">
        <is>
          <t>Pass</t>
        </is>
      </c>
      <c r="N292" s="3" t="inlineStr"/>
    </row>
    <row r="293">
      <c r="A293" s="5" t="n">
        <v>292</v>
      </c>
      <c r="B293" s="6" t="inlineStr">
        <is>
          <t>FF.15</t>
        </is>
      </c>
      <c r="C293" s="6" t="inlineStr">
        <is>
          <t>Dilations: scale factor and classification</t>
        </is>
      </c>
      <c r="D293" s="6" t="inlineStr">
        <is>
          <t>FF</t>
        </is>
      </c>
      <c r="E293" s="6" t="inlineStr">
        <is>
          <t>Transformations</t>
        </is>
      </c>
      <c r="F293" s="6" t="inlineStr">
        <is>
          <t>Quantify the factor, then categorize</t>
        </is>
      </c>
      <c r="G293" s="6" t="inlineStr">
        <is>
          <t>Measure</t>
        </is>
      </c>
      <c r="H293" s="6" t="inlineStr">
        <is>
          <t>Identify</t>
        </is>
      </c>
      <c r="I293" s="6" t="inlineStr"/>
      <c r="J293" s="6" t="inlineStr">
        <is>
          <t>Measure -&gt; Identify</t>
        </is>
      </c>
      <c r="K293" s="5">
        <f>COUNTA(G293:I293)</f>
        <v/>
      </c>
      <c r="L293" s="5">
        <f>IF(K293&gt;1,"Composed","Atomic")</f>
        <v/>
      </c>
      <c r="M293" s="4" t="inlineStr">
        <is>
          <t>Pass</t>
        </is>
      </c>
      <c r="N293" s="6" t="inlineStr">
        <is>
          <t>Was Measure+Identify, kept, order made explicit.</t>
        </is>
      </c>
    </row>
    <row r="294">
      <c r="A294" s="2" t="n">
        <v>293</v>
      </c>
      <c r="B294" s="3" t="inlineStr">
        <is>
          <t>FF.16</t>
        </is>
      </c>
      <c r="C294" s="3" t="inlineStr">
        <is>
          <t>Dilations and parallel lines</t>
        </is>
      </c>
      <c r="D294" s="3" t="inlineStr">
        <is>
          <t>FF</t>
        </is>
      </c>
      <c r="E294" s="3" t="inlineStr">
        <is>
          <t>Transformations</t>
        </is>
      </c>
      <c r="F294" s="3" t="inlineStr">
        <is>
          <t>Test which properties an operation preserves</t>
        </is>
      </c>
      <c r="G294" s="3" t="inlineStr">
        <is>
          <t>Verify</t>
        </is>
      </c>
      <c r="H294" s="3" t="inlineStr"/>
      <c r="I294" s="3" t="inlineStr"/>
      <c r="J294" s="3" t="inlineStr">
        <is>
          <t>Verify</t>
        </is>
      </c>
      <c r="K294" s="2">
        <f>COUNTA(G294:I294)</f>
        <v/>
      </c>
      <c r="L294" s="2">
        <f>IF(K294&gt;1,"Composed","Atomic")</f>
        <v/>
      </c>
      <c r="M294" s="4" t="inlineStr">
        <is>
          <t>Pass</t>
        </is>
      </c>
      <c r="N294" s="3" t="inlineStr">
        <is>
          <t>Was Verify+Transform. Testing preservation is Verify.</t>
        </is>
      </c>
    </row>
    <row r="295">
      <c r="A295" s="5" t="n">
        <v>294</v>
      </c>
      <c r="B295" s="6" t="inlineStr">
        <is>
          <t>GG.1</t>
        </is>
      </c>
      <c r="C295" s="6" t="inlineStr">
        <is>
          <t>Theoretical and experimental probability</t>
        </is>
      </c>
      <c r="D295" s="6" t="inlineStr">
        <is>
          <t>GG</t>
        </is>
      </c>
      <c r="E295" s="6" t="inlineStr">
        <is>
          <t>Probability</t>
        </is>
      </c>
      <c r="F295" s="6" t="inlineStr">
        <is>
          <t>Quantify likelihood and compare two estimates</t>
        </is>
      </c>
      <c r="G295" s="6" t="inlineStr">
        <is>
          <t>Measure</t>
        </is>
      </c>
      <c r="H295" s="6" t="inlineStr">
        <is>
          <t>Compare</t>
        </is>
      </c>
      <c r="I295" s="6" t="inlineStr"/>
      <c r="J295" s="6" t="inlineStr">
        <is>
          <t>Measure -&gt; Compare</t>
        </is>
      </c>
      <c r="K295" s="5">
        <f>COUNTA(G295:I295)</f>
        <v/>
      </c>
      <c r="L295" s="5">
        <f>IF(K295&gt;1,"Composed","Atomic")</f>
        <v/>
      </c>
      <c r="M295" s="4" t="inlineStr">
        <is>
          <t>Pass</t>
        </is>
      </c>
      <c r="N295" s="6" t="inlineStr">
        <is>
          <t>Was Measure+Compare, kept.</t>
        </is>
      </c>
    </row>
    <row r="296">
      <c r="A296" s="2" t="n">
        <v>295</v>
      </c>
      <c r="B296" s="3" t="inlineStr">
        <is>
          <t>GG.2</t>
        </is>
      </c>
      <c r="C296" s="3" t="inlineStr">
        <is>
          <t>Compound events: find the number of outcomes</t>
        </is>
      </c>
      <c r="D296" s="3" t="inlineStr">
        <is>
          <t>GG</t>
        </is>
      </c>
      <c r="E296" s="3" t="inlineStr">
        <is>
          <t>Probability</t>
        </is>
      </c>
      <c r="F296" s="3" t="inlineStr">
        <is>
          <t>Build a combined outcome set and count it</t>
        </is>
      </c>
      <c r="G296" s="3" t="inlineStr">
        <is>
          <t>Compose</t>
        </is>
      </c>
      <c r="H296" s="3" t="inlineStr">
        <is>
          <t>Measure</t>
        </is>
      </c>
      <c r="I296" s="3" t="inlineStr"/>
      <c r="J296" s="3" t="inlineStr">
        <is>
          <t>Compose -&gt; Measure</t>
        </is>
      </c>
      <c r="K296" s="2">
        <f>COUNTA(G296:I296)</f>
        <v/>
      </c>
      <c r="L296" s="2">
        <f>IF(K296&gt;1,"Composed","Atomic")</f>
        <v/>
      </c>
      <c r="M296" s="4" t="inlineStr">
        <is>
          <t>Pass</t>
        </is>
      </c>
      <c r="N296" s="3" t="inlineStr">
        <is>
          <t>Was Compose+Measure, kept.</t>
        </is>
      </c>
    </row>
    <row r="297">
      <c r="A297" s="5" t="n">
        <v>296</v>
      </c>
      <c r="B297" s="6" t="inlineStr">
        <is>
          <t>GG.3</t>
        </is>
      </c>
      <c r="C297" s="6" t="inlineStr">
        <is>
          <t>Independent and dependent events</t>
        </is>
      </c>
      <c r="D297" s="6" t="inlineStr">
        <is>
          <t>GG</t>
        </is>
      </c>
      <c r="E297" s="6" t="inlineStr">
        <is>
          <t>Probability</t>
        </is>
      </c>
      <c r="F297" s="6" t="inlineStr">
        <is>
          <t>Categorize a relationship, then quantify</t>
        </is>
      </c>
      <c r="G297" s="6" t="inlineStr">
        <is>
          <t>Identify</t>
        </is>
      </c>
      <c r="H297" s="6" t="inlineStr"/>
      <c r="I297" s="6" t="inlineStr"/>
      <c r="J297" s="6" t="inlineStr">
        <is>
          <t>Identify</t>
        </is>
      </c>
      <c r="K297" s="5">
        <f>COUNTA(G297:I297)</f>
        <v/>
      </c>
      <c r="L297" s="5">
        <f>IF(K297&gt;1,"Composed","Atomic")</f>
        <v/>
      </c>
      <c r="M297" s="4" t="inlineStr">
        <is>
          <t>Pass</t>
        </is>
      </c>
      <c r="N297" s="6" t="inlineStr">
        <is>
          <t>Was Identify+Measure. Categorising the relationship is Identify.</t>
        </is>
      </c>
    </row>
    <row r="298">
      <c r="A298" s="2" t="n">
        <v>297</v>
      </c>
      <c r="B298" s="3" t="inlineStr">
        <is>
          <t>GG.4</t>
        </is>
      </c>
      <c r="C298" s="3" t="inlineStr">
        <is>
          <t>Factorials</t>
        </is>
      </c>
      <c r="D298" s="3" t="inlineStr">
        <is>
          <t>GG</t>
        </is>
      </c>
      <c r="E298" s="3" t="inlineStr">
        <is>
          <t>Probability</t>
        </is>
      </c>
      <c r="F298" s="3" t="inlineStr">
        <is>
          <t>Rewrite a notation into a numeric value</t>
        </is>
      </c>
      <c r="G298" s="3" t="inlineStr">
        <is>
          <t>Transform</t>
        </is>
      </c>
      <c r="H298" s="3" t="inlineStr"/>
      <c r="I298" s="3" t="inlineStr"/>
      <c r="J298" s="3" t="inlineStr">
        <is>
          <t>Transform</t>
        </is>
      </c>
      <c r="K298" s="2">
        <f>COUNTA(G298:I298)</f>
        <v/>
      </c>
      <c r="L298" s="2">
        <f>IF(K298&gt;1,"Composed","Atomic")</f>
        <v/>
      </c>
      <c r="M298" s="4" t="inlineStr">
        <is>
          <t>Pass</t>
        </is>
      </c>
      <c r="N298" s="3" t="inlineStr"/>
    </row>
    <row r="299">
      <c r="A299" s="5" t="n">
        <v>298</v>
      </c>
      <c r="B299" s="6" t="inlineStr">
        <is>
          <t>GG.5</t>
        </is>
      </c>
      <c r="C299" s="6" t="inlineStr">
        <is>
          <t>Permutations</t>
        </is>
      </c>
      <c r="D299" s="6" t="inlineStr">
        <is>
          <t>GG</t>
        </is>
      </c>
      <c r="E299" s="6" t="inlineStr">
        <is>
          <t>Probability</t>
        </is>
      </c>
      <c r="F299" s="6" t="inlineStr">
        <is>
          <t>Count arrangements built from parts</t>
        </is>
      </c>
      <c r="G299" s="6" t="inlineStr">
        <is>
          <t>Compose</t>
        </is>
      </c>
      <c r="H299" s="6" t="inlineStr">
        <is>
          <t>Measure</t>
        </is>
      </c>
      <c r="I299" s="6" t="inlineStr"/>
      <c r="J299" s="6" t="inlineStr">
        <is>
          <t>Compose -&gt; Measure</t>
        </is>
      </c>
      <c r="K299" s="5">
        <f>COUNTA(G299:I299)</f>
        <v/>
      </c>
      <c r="L299" s="5">
        <f>IF(K299&gt;1,"Composed","Atomic")</f>
        <v/>
      </c>
      <c r="M299" s="4" t="inlineStr">
        <is>
          <t>Pass</t>
        </is>
      </c>
      <c r="N299" s="6" t="inlineStr">
        <is>
          <t>Was Compose+Measure, kept.</t>
        </is>
      </c>
    </row>
    <row r="300">
      <c r="A300" s="2" t="n">
        <v>299</v>
      </c>
      <c r="B300" s="3" t="inlineStr">
        <is>
          <t>GG.6</t>
        </is>
      </c>
      <c r="C300" s="3" t="inlineStr">
        <is>
          <t>Counting principle</t>
        </is>
      </c>
      <c r="D300" s="3" t="inlineStr">
        <is>
          <t>GG</t>
        </is>
      </c>
      <c r="E300" s="3" t="inlineStr">
        <is>
          <t>Probability</t>
        </is>
      </c>
      <c r="F300" s="3" t="inlineStr">
        <is>
          <t>Count combined possibilities from stages</t>
        </is>
      </c>
      <c r="G300" s="3" t="inlineStr">
        <is>
          <t>Compose</t>
        </is>
      </c>
      <c r="H300" s="3" t="inlineStr">
        <is>
          <t>Measure</t>
        </is>
      </c>
      <c r="I300" s="3" t="inlineStr"/>
      <c r="J300" s="3" t="inlineStr">
        <is>
          <t>Compose -&gt; Measure</t>
        </is>
      </c>
      <c r="K300" s="2">
        <f>COUNTA(G300:I300)</f>
        <v/>
      </c>
      <c r="L300" s="2">
        <f>IF(K300&gt;1,"Composed","Atomic")</f>
        <v/>
      </c>
      <c r="M300" s="4" t="inlineStr">
        <is>
          <t>Pass</t>
        </is>
      </c>
      <c r="N300" s="3" t="inlineStr">
        <is>
          <t>Was Compose+Measure, kept.</t>
        </is>
      </c>
    </row>
    <row r="301">
      <c r="A301" s="5" t="n">
        <v>300</v>
      </c>
      <c r="B301" s="6" t="inlineStr">
        <is>
          <t>GG.7</t>
        </is>
      </c>
      <c r="C301" s="6" t="inlineStr">
        <is>
          <t>Permutation and combination notation</t>
        </is>
      </c>
      <c r="D301" s="6" t="inlineStr">
        <is>
          <t>GG</t>
        </is>
      </c>
      <c r="E301" s="6" t="inlineStr">
        <is>
          <t>Probability</t>
        </is>
      </c>
      <c r="F301" s="6" t="inlineStr">
        <is>
          <t>Match a situation to the correct notation</t>
        </is>
      </c>
      <c r="G301" s="6" t="inlineStr">
        <is>
          <t>Represent</t>
        </is>
      </c>
      <c r="H301" s="6" t="inlineStr"/>
      <c r="I301" s="6" t="inlineStr"/>
      <c r="J301" s="6" t="inlineStr">
        <is>
          <t>Represent</t>
        </is>
      </c>
      <c r="K301" s="5">
        <f>COUNTA(G301:I301)</f>
        <v/>
      </c>
      <c r="L301" s="5">
        <f>IF(K301&gt;1,"Composed","Atomic")</f>
        <v/>
      </c>
      <c r="M301" s="4" t="inlineStr">
        <is>
          <t>Pass</t>
        </is>
      </c>
      <c r="N301" s="6" t="inlineStr">
        <is>
          <t>Was Identify+Represent. Choosing notation is Represent.</t>
        </is>
      </c>
    </row>
    <row r="302">
      <c r="A302" s="2" t="n">
        <v>301</v>
      </c>
      <c r="B302" s="3" t="inlineStr">
        <is>
          <t>GG.8</t>
        </is>
      </c>
      <c r="C302" s="3" t="inlineStr">
        <is>
          <t>Geometric probability</t>
        </is>
      </c>
      <c r="D302" s="3" t="inlineStr">
        <is>
          <t>GG</t>
        </is>
      </c>
      <c r="E302" s="3" t="inlineStr">
        <is>
          <t>Probability</t>
        </is>
      </c>
      <c r="F302" s="3" t="inlineStr">
        <is>
          <t>Quantify likelihood as a ratio of magnitudes</t>
        </is>
      </c>
      <c r="G302" s="3" t="inlineStr">
        <is>
          <t>Measure</t>
        </is>
      </c>
      <c r="H302" s="3" t="inlineStr"/>
      <c r="I302" s="3" t="inlineStr"/>
      <c r="J302" s="3" t="inlineStr">
        <is>
          <t>Measure</t>
        </is>
      </c>
      <c r="K302" s="2">
        <f>COUNTA(G302:I302)</f>
        <v/>
      </c>
      <c r="L302" s="2">
        <f>IF(K302&gt;1,"Composed","Atomic")</f>
        <v/>
      </c>
      <c r="M302" s="4" t="inlineStr">
        <is>
          <t>Pass</t>
        </is>
      </c>
      <c r="N302" s="3" t="inlineStr"/>
    </row>
    <row r="303">
      <c r="A303" s="5" t="n">
        <v>302</v>
      </c>
      <c r="B303" s="6" t="inlineStr">
        <is>
          <t>HH.1</t>
        </is>
      </c>
      <c r="C303" s="6" t="inlineStr">
        <is>
          <t>Mean, median, mode and range</t>
        </is>
      </c>
      <c r="D303" s="6" t="inlineStr">
        <is>
          <t>HH</t>
        </is>
      </c>
      <c r="E303" s="6" t="inlineStr">
        <is>
          <t>Statistics</t>
        </is>
      </c>
      <c r="F303" s="6" t="inlineStr">
        <is>
          <t>Summarize a data set as a single magnitude</t>
        </is>
      </c>
      <c r="G303" s="6" t="inlineStr">
        <is>
          <t>Measure</t>
        </is>
      </c>
      <c r="H303" s="6" t="inlineStr"/>
      <c r="I303" s="6" t="inlineStr"/>
      <c r="J303" s="6" t="inlineStr">
        <is>
          <t>Measure</t>
        </is>
      </c>
      <c r="K303" s="5">
        <f>COUNTA(G303:I303)</f>
        <v/>
      </c>
      <c r="L303" s="5">
        <f>IF(K303&gt;1,"Composed","Atomic")</f>
        <v/>
      </c>
      <c r="M303" s="4" t="inlineStr">
        <is>
          <t>Pass</t>
        </is>
      </c>
      <c r="N303" s="6" t="inlineStr"/>
    </row>
    <row r="304">
      <c r="A304" s="2" t="n">
        <v>303</v>
      </c>
      <c r="B304" s="3" t="inlineStr">
        <is>
          <t>HH.2</t>
        </is>
      </c>
      <c r="C304" s="3" t="inlineStr">
        <is>
          <t>Quartiles</t>
        </is>
      </c>
      <c r="D304" s="3" t="inlineStr">
        <is>
          <t>HH</t>
        </is>
      </c>
      <c r="E304" s="3" t="inlineStr">
        <is>
          <t>Statistics</t>
        </is>
      </c>
      <c r="F304" s="3" t="inlineStr">
        <is>
          <t>Summarize a distribution by position</t>
        </is>
      </c>
      <c r="G304" s="3" t="inlineStr">
        <is>
          <t>Measure</t>
        </is>
      </c>
      <c r="H304" s="3" t="inlineStr"/>
      <c r="I304" s="3" t="inlineStr"/>
      <c r="J304" s="3" t="inlineStr">
        <is>
          <t>Measure</t>
        </is>
      </c>
      <c r="K304" s="2">
        <f>COUNTA(G304:I304)</f>
        <v/>
      </c>
      <c r="L304" s="2">
        <f>IF(K304&gt;1,"Composed","Atomic")</f>
        <v/>
      </c>
      <c r="M304" s="4" t="inlineStr">
        <is>
          <t>Pass</t>
        </is>
      </c>
      <c r="N304" s="3" t="inlineStr"/>
    </row>
    <row r="305">
      <c r="A305" s="5" t="n">
        <v>304</v>
      </c>
      <c r="B305" s="6" t="inlineStr">
        <is>
          <t>HH.3</t>
        </is>
      </c>
      <c r="C305" s="6" t="inlineStr">
        <is>
          <t>Identify biased samples</t>
        </is>
      </c>
      <c r="D305" s="6" t="inlineStr">
        <is>
          <t>HH</t>
        </is>
      </c>
      <c r="E305" s="6" t="inlineStr">
        <is>
          <t>Statistics</t>
        </is>
      </c>
      <c r="F305" s="6" t="inlineStr">
        <is>
          <t>Test a method against a validity condition</t>
        </is>
      </c>
      <c r="G305" s="6" t="inlineStr">
        <is>
          <t>Verify</t>
        </is>
      </c>
      <c r="H305" s="6" t="inlineStr"/>
      <c r="I305" s="6" t="inlineStr"/>
      <c r="J305" s="6" t="inlineStr">
        <is>
          <t>Verify</t>
        </is>
      </c>
      <c r="K305" s="5">
        <f>COUNTA(G305:I305)</f>
        <v/>
      </c>
      <c r="L305" s="5">
        <f>IF(K305&gt;1,"Composed","Atomic")</f>
        <v/>
      </c>
      <c r="M305" s="4" t="inlineStr">
        <is>
          <t>Pass</t>
        </is>
      </c>
      <c r="N305" s="6" t="inlineStr">
        <is>
          <t>Was Verify+Identify. Testing against a validity criterion is Verify.</t>
        </is>
      </c>
    </row>
    <row r="306">
      <c r="A306" s="2" t="n">
        <v>305</v>
      </c>
      <c r="B306" s="3" t="inlineStr">
        <is>
          <t>HH.4</t>
        </is>
      </c>
      <c r="C306" s="3" t="inlineStr">
        <is>
          <t>Mean absolute deviation</t>
        </is>
      </c>
      <c r="D306" s="3" t="inlineStr">
        <is>
          <t>HH</t>
        </is>
      </c>
      <c r="E306" s="3" t="inlineStr">
        <is>
          <t>Statistics</t>
        </is>
      </c>
      <c r="F306" s="3" t="inlineStr">
        <is>
          <t>Quantify spread as a single magnitude</t>
        </is>
      </c>
      <c r="G306" s="3" t="inlineStr">
        <is>
          <t>Measure</t>
        </is>
      </c>
      <c r="H306" s="3" t="inlineStr"/>
      <c r="I306" s="3" t="inlineStr"/>
      <c r="J306" s="3" t="inlineStr">
        <is>
          <t>Measure</t>
        </is>
      </c>
      <c r="K306" s="2">
        <f>COUNTA(G306:I306)</f>
        <v/>
      </c>
      <c r="L306" s="2">
        <f>IF(K306&gt;1,"Composed","Atomic")</f>
        <v/>
      </c>
      <c r="M306" s="4" t="inlineStr">
        <is>
          <t>Pass</t>
        </is>
      </c>
      <c r="N306" s="3" t="inlineStr"/>
    </row>
    <row r="307">
      <c r="A307" s="5" t="n">
        <v>306</v>
      </c>
      <c r="B307" s="6" t="inlineStr">
        <is>
          <t>HH.5</t>
        </is>
      </c>
      <c r="C307" s="6" t="inlineStr">
        <is>
          <t>Variance and standard deviation</t>
        </is>
      </c>
      <c r="D307" s="6" t="inlineStr">
        <is>
          <t>HH</t>
        </is>
      </c>
      <c r="E307" s="6" t="inlineStr">
        <is>
          <t>Statistics</t>
        </is>
      </c>
      <c r="F307" s="6" t="inlineStr">
        <is>
          <t>Quantify spread as a single magnitude</t>
        </is>
      </c>
      <c r="G307" s="6" t="inlineStr">
        <is>
          <t>Measure</t>
        </is>
      </c>
      <c r="H307" s="6" t="inlineStr"/>
      <c r="I307" s="6" t="inlineStr"/>
      <c r="J307" s="6" t="inlineStr">
        <is>
          <t>Measure</t>
        </is>
      </c>
      <c r="K307" s="5">
        <f>COUNTA(G307:I307)</f>
        <v/>
      </c>
      <c r="L307" s="5">
        <f>IF(K307&gt;1,"Composed","Atomic")</f>
        <v/>
      </c>
      <c r="M307" s="4" t="inlineStr">
        <is>
          <t>Pass</t>
        </is>
      </c>
      <c r="N307" s="6" t="inlineStr"/>
    </row>
  </sheetData>
  <autoFilter ref="A1:N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44" customWidth="1" min="4" max="4"/>
    <col width="50" customWidth="1" min="5" max="5"/>
    <col width="30" customWidth="1" min="6" max="6"/>
    <col width="11" customWidth="1" min="7" max="7"/>
    <col width="10" customWidth="1" min="8" max="8"/>
    <col width="11" customWidth="1" min="9" max="9"/>
    <col width="12" customWidth="1" min="10" max="10"/>
  </cols>
  <sheetData>
    <row r="1">
      <c r="A1" s="7" t="inlineStr">
        <is>
          <t>Deliverable 1 &amp; 3 - Primitives as typed operations</t>
        </is>
      </c>
    </row>
    <row r="2">
      <c r="A2" s="8" t="inlineStr">
        <is>
          <t>Each primitive is an operation with a signature and a rule. Nine are mechanical; one (Generalize) is not.</t>
        </is>
      </c>
    </row>
    <row r="4" ht="46" customHeight="1">
      <c r="A4" s="1" t="inlineStr">
        <is>
          <t>Primitive</t>
        </is>
      </c>
      <c r="B4" s="1" t="inlineStr">
        <is>
          <t>Rule kind</t>
        </is>
      </c>
      <c r="C4" s="1" t="inlineStr">
        <is>
          <t>Does it have a definable rule?</t>
        </is>
      </c>
      <c r="D4" s="1" t="inlineStr">
        <is>
          <t>What its rule looks like</t>
        </is>
      </c>
      <c r="E4" s="1" t="inlineStr">
        <is>
          <t>Example rules / formulas it carries</t>
        </is>
      </c>
      <c r="F4" s="1" t="inlineStr">
        <is>
          <t>Accepts (input types)</t>
        </is>
      </c>
      <c r="G4" s="1" t="inlineStr">
        <is>
          <t>Returns (output type)</t>
        </is>
      </c>
      <c r="H4" s="1" t="inlineStr">
        <is>
          <t>Times used</t>
        </is>
      </c>
      <c r="I4" s="1" t="inlineStr">
        <is>
          <t>As final step</t>
        </is>
      </c>
      <c r="J4" s="1" t="inlineStr">
        <is>
          <t>Mid-pipeline</t>
        </is>
      </c>
    </row>
    <row r="5">
      <c r="A5" s="9" t="inlineStr">
        <is>
          <t>Identify</t>
        </is>
      </c>
      <c r="B5" s="3" t="inlineStr">
        <is>
          <t>Classifier</t>
        </is>
      </c>
      <c r="C5" s="3" t="inlineStr">
        <is>
          <t>Yes</t>
        </is>
      </c>
      <c r="D5" s="3" t="inlineStr">
        <is>
          <t>A checklist of defining properties. Object in, category out.</t>
        </is>
      </c>
      <c r="E5" s="3" t="inlineStr">
        <is>
          <t>Vertical line test; quadrilateral property checklist; leading-coefficient sign</t>
        </is>
      </c>
      <c r="F5" s="3" t="inlineStr">
        <is>
          <t>Object, Parts, Relation, Rule, Value</t>
        </is>
      </c>
      <c r="G5" s="3" t="inlineStr">
        <is>
          <t>Category</t>
        </is>
      </c>
      <c r="H5" s="3">
        <f>COUNTIF('Classification Matrix'!$G$2:$I$307,$A5)</f>
        <v/>
      </c>
      <c r="I5" s="3" t="n">
        <v>35</v>
      </c>
      <c r="J5" s="10" t="n">
        <v>0</v>
      </c>
    </row>
    <row r="6">
      <c r="A6" s="9" t="inlineStr">
        <is>
          <t>Represent</t>
        </is>
      </c>
      <c r="B6" s="3" t="inlineStr">
        <is>
          <t>Translator</t>
        </is>
      </c>
      <c r="C6" s="3" t="inlineStr">
        <is>
          <t>Yes</t>
        </is>
      </c>
      <c r="D6" s="3" t="inlineStr">
        <is>
          <t>A mapping between two notations. Same content, new form.</t>
        </is>
      </c>
      <c r="E6" s="3" t="inlineStr">
        <is>
          <t>Point plotting; slope-intercept to graph; SOH-CAH-TOA set-up; net unfolding</t>
        </is>
      </c>
      <c r="F6" s="3" t="inlineStr">
        <is>
          <t>Object, Parts, Relation, Rule, Value</t>
        </is>
      </c>
      <c r="G6" s="3" t="inlineStr">
        <is>
          <t>Object</t>
        </is>
      </c>
      <c r="H6" s="3">
        <f>COUNTIF('Classification Matrix'!$G$2:$I$307,$A6)</f>
        <v/>
      </c>
      <c r="I6" s="3" t="n">
        <v>57</v>
      </c>
      <c r="J6" s="3" t="n">
        <v>26</v>
      </c>
    </row>
    <row r="7">
      <c r="A7" s="9" t="inlineStr">
        <is>
          <t>Transform</t>
        </is>
      </c>
      <c r="B7" s="3" t="inlineStr">
        <is>
          <t>Producer</t>
        </is>
      </c>
      <c r="C7" s="3" t="inlineStr">
        <is>
          <t>Yes</t>
        </is>
      </c>
      <c r="D7" s="3" t="inlineStr">
        <is>
          <t>An equivalence-preserving rewrite rule.</t>
        </is>
      </c>
      <c r="E7" s="3" t="inlineStr">
        <is>
          <t>Exponent laws; radical simplification; distributive property; unit conversion</t>
        </is>
      </c>
      <c r="F7" s="3" t="inlineStr">
        <is>
          <t>Object, Parts, Rule, Value</t>
        </is>
      </c>
      <c r="G7" s="3" t="inlineStr">
        <is>
          <t>Object</t>
        </is>
      </c>
      <c r="H7" s="3">
        <f>COUNTIF('Classification Matrix'!$G$2:$I$307,$A7)</f>
        <v/>
      </c>
      <c r="I7" s="3" t="n">
        <v>64</v>
      </c>
      <c r="J7" s="3" t="n">
        <v>18</v>
      </c>
    </row>
    <row r="8">
      <c r="A8" s="9" t="inlineStr">
        <is>
          <t>Compare</t>
        </is>
      </c>
      <c r="B8" s="3" t="inlineStr">
        <is>
          <t>Producer</t>
        </is>
      </c>
      <c r="C8" s="3" t="inlineStr">
        <is>
          <t>Yes</t>
        </is>
      </c>
      <c r="D8" s="3" t="inlineStr">
        <is>
          <t>A relation-extraction rule. Two objects in, a relation out.</t>
        </is>
      </c>
      <c r="E8" s="3" t="inlineStr">
        <is>
          <t>Ordering on the number line; ratio of corresponding sides; scale factor</t>
        </is>
      </c>
      <c r="F8" s="3" t="inlineStr">
        <is>
          <t>Object, Parts, Value</t>
        </is>
      </c>
      <c r="G8" s="3" t="inlineStr">
        <is>
          <t>Relation</t>
        </is>
      </c>
      <c r="H8" s="3">
        <f>COUNTIF('Classification Matrix'!$G$2:$I$307,$A8)</f>
        <v/>
      </c>
      <c r="I8" s="3" t="n">
        <v>17</v>
      </c>
      <c r="J8" s="3" t="n">
        <v>8</v>
      </c>
    </row>
    <row r="9">
      <c r="A9" s="9" t="inlineStr">
        <is>
          <t>Compose</t>
        </is>
      </c>
      <c r="B9" s="3" t="inlineStr">
        <is>
          <t>Producer</t>
        </is>
      </c>
      <c r="C9" s="3" t="inlineStr">
        <is>
          <t>Yes</t>
        </is>
      </c>
      <c r="D9" s="3" t="inlineStr">
        <is>
          <t>An assembly rule. Parts in, one whole out.</t>
        </is>
      </c>
      <c r="E9" s="3" t="inlineStr">
        <is>
          <t>Counting principle; sum of partial areas; composition of transformations</t>
        </is>
      </c>
      <c r="F9" s="3" t="inlineStr">
        <is>
          <t>Object, Parts, Value</t>
        </is>
      </c>
      <c r="G9" s="3" t="inlineStr">
        <is>
          <t>Object</t>
        </is>
      </c>
      <c r="H9" s="3">
        <f>COUNTIF('Classification Matrix'!$G$2:$I$307,$A9)</f>
        <v/>
      </c>
      <c r="I9" s="3" t="n">
        <v>7</v>
      </c>
      <c r="J9" s="3" t="n">
        <v>6</v>
      </c>
    </row>
    <row r="10">
      <c r="A10" s="9" t="inlineStr">
        <is>
          <t>Decompose</t>
        </is>
      </c>
      <c r="B10" s="3" t="inlineStr">
        <is>
          <t>Producer</t>
        </is>
      </c>
      <c r="C10" s="3" t="inlineStr">
        <is>
          <t>Yes</t>
        </is>
      </c>
      <c r="D10" s="3" t="inlineStr">
        <is>
          <t>A splitting rule. One whole in, parts out.</t>
        </is>
      </c>
      <c r="E10" s="3" t="inlineStr">
        <is>
          <t>Prime factorization; factoring quadratics; net decomposition; long division</t>
        </is>
      </c>
      <c r="F10" s="3" t="inlineStr">
        <is>
          <t>Object</t>
        </is>
      </c>
      <c r="G10" s="3" t="inlineStr">
        <is>
          <t>Parts</t>
        </is>
      </c>
      <c r="H10" s="3">
        <f>COUNTIF('Classification Matrix'!$G$2:$I$307,$A10)</f>
        <v/>
      </c>
      <c r="I10" s="3" t="n">
        <v>12</v>
      </c>
      <c r="J10" s="3" t="n">
        <v>11</v>
      </c>
    </row>
    <row r="11">
      <c r="A11" s="9" t="inlineStr">
        <is>
          <t>Constrain</t>
        </is>
      </c>
      <c r="B11" s="3" t="inlineStr">
        <is>
          <t>Producer</t>
        </is>
      </c>
      <c r="C11" s="3" t="inlineStr">
        <is>
          <t>Yes</t>
        </is>
      </c>
      <c r="D11" s="3" t="inlineStr">
        <is>
          <t>A solution procedure over stated conditions.</t>
        </is>
      </c>
      <c r="E11" s="3" t="inlineStr">
        <is>
          <t>Isolate the variable; quadratic formula; elimination; Pythagorean relation</t>
        </is>
      </c>
      <c r="F11" s="3" t="inlineStr">
        <is>
          <t>Object, Parts, Relation, Rule, Value</t>
        </is>
      </c>
      <c r="G11" s="3" t="inlineStr">
        <is>
          <t>Value</t>
        </is>
      </c>
      <c r="H11" s="3">
        <f>COUNTIF('Classification Matrix'!$G$2:$I$307,$A11)</f>
        <v/>
      </c>
      <c r="I11" s="3" t="n">
        <v>47</v>
      </c>
      <c r="J11" s="3" t="n">
        <v>4</v>
      </c>
    </row>
    <row r="12">
      <c r="A12" s="9" t="inlineStr">
        <is>
          <t>Measure</t>
        </is>
      </c>
      <c r="B12" s="3" t="inlineStr">
        <is>
          <t>Producer</t>
        </is>
      </c>
      <c r="C12" s="3" t="inlineStr">
        <is>
          <t>Yes</t>
        </is>
      </c>
      <c r="D12" s="3" t="inlineStr">
        <is>
          <t>A quantification formula. Object in, magnitude out.</t>
        </is>
      </c>
      <c r="E12" s="3" t="inlineStr">
        <is>
          <t>A = 1/2bh; slope = rise/run; (n-2)x180; mean; P(E) = favourable/total</t>
        </is>
      </c>
      <c r="F12" s="3" t="inlineStr">
        <is>
          <t>Object, Parts, Relation, Value</t>
        </is>
      </c>
      <c r="G12" s="3" t="inlineStr">
        <is>
          <t>Value</t>
        </is>
      </c>
      <c r="H12" s="3">
        <f>COUNTIF('Classification Matrix'!$G$2:$I$307,$A12)</f>
        <v/>
      </c>
      <c r="I12" s="3" t="n">
        <v>46</v>
      </c>
      <c r="J12" s="3" t="n">
        <v>17</v>
      </c>
    </row>
    <row r="13">
      <c r="A13" s="9" t="inlineStr">
        <is>
          <t>Generalize</t>
        </is>
      </c>
      <c r="B13" s="3" t="inlineStr">
        <is>
          <t>Inducer</t>
        </is>
      </c>
      <c r="C13" s="11" t="inlineStr">
        <is>
          <t>NO - inductive, not mechanical</t>
        </is>
      </c>
      <c r="D13" s="3" t="inlineStr">
        <is>
          <t>NO FORMULA EXISTS. Cases in, a new rule out. The one non-mechanical primitive.</t>
        </is>
      </c>
      <c r="E13" s="3" t="inlineStr">
        <is>
          <t>Line of best fit; writing the rule for a mapping; deriving f(x) from a table</t>
        </is>
      </c>
      <c r="F13" s="3" t="inlineStr">
        <is>
          <t>Cases, Object, Value</t>
        </is>
      </c>
      <c r="G13" s="3" t="inlineStr">
        <is>
          <t>Rule</t>
        </is>
      </c>
      <c r="H13" s="3">
        <f>COUNTIF('Classification Matrix'!$G$2:$I$307,$A13)</f>
        <v/>
      </c>
      <c r="I13" s="3" t="n">
        <v>4</v>
      </c>
      <c r="J13" s="3" t="n">
        <v>3</v>
      </c>
    </row>
    <row r="14">
      <c r="A14" s="9" t="inlineStr">
        <is>
          <t>Verify</t>
        </is>
      </c>
      <c r="B14" s="3" t="inlineStr">
        <is>
          <t>Tester</t>
        </is>
      </c>
      <c r="C14" s="3" t="inlineStr">
        <is>
          <t>Yes</t>
        </is>
      </c>
      <c r="D14" s="3" t="inlineStr">
        <is>
          <t>A criterion returning true or false. Terminal - nothing consumes a Boolean.</t>
        </is>
      </c>
      <c r="E14" s="3" t="inlineStr">
        <is>
          <t>Substitution check; SSS/SAS criteria; triangle inequality; counterexample search</t>
        </is>
      </c>
      <c r="F14" s="3" t="inlineStr">
        <is>
          <t>Category, Object, Parts, Relation, Rule, Value</t>
        </is>
      </c>
      <c r="G14" s="3" t="inlineStr">
        <is>
          <t>Boolean</t>
        </is>
      </c>
      <c r="H14" s="3">
        <f>COUNTIF('Classification Matrix'!$G$2:$I$307,$A14)</f>
        <v/>
      </c>
      <c r="I14" s="3" t="n">
        <v>17</v>
      </c>
      <c r="J14" s="10" t="n">
        <v>0</v>
      </c>
    </row>
    <row r="16">
      <c r="A16" s="12" t="inlineStr"/>
    </row>
    <row r="17">
      <c r="A17" s="13" t="inlineStr">
        <is>
          <t>Reading this sheet</t>
        </is>
      </c>
    </row>
    <row r="18">
      <c r="A18" s="12" t="inlineStr">
        <is>
          <t>A primitive is an operation: it accepts certain input types and returns exactly one output type. The 'rule' is what the student is taught once and then reuses everywhere the primitive appears.</t>
        </is>
      </c>
    </row>
    <row r="19">
      <c r="A19" s="12" t="inlineStr">
        <is>
          <t>Identify and Verify are highlighted because they NEVER appear mid-pipeline (0 occurrences in 306 skills). The type system predicts this: they return Category and Boolean, and nothing downstream consumes those. The prediction was not enforced during classification - it emerged from the data.</t>
        </is>
      </c>
    </row>
    <row r="20">
      <c r="A20" s="12" t="inlineStr">
        <is>
          <t>Generalize is the only primitive with no definable rule. It appears in just 7 of 306 skills, which locates the non-mechanical part of Grade 10 mathematics precisely.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8" customWidth="1" min="3" max="3"/>
    <col width="14" customWidth="1" min="4" max="4"/>
    <col width="13" customWidth="1" min="5" max="5"/>
    <col width="13" customWidth="1" min="6" max="6"/>
    <col width="48" customWidth="1" min="7" max="7"/>
  </cols>
  <sheetData>
    <row r="1">
      <c r="A1" s="7" t="inlineStr">
        <is>
          <t>The composition layer - every distinct program over the primitives</t>
        </is>
      </c>
    </row>
    <row r="2">
      <c r="A2" s="8" t="inlineStr">
        <is>
          <t>306 curriculum skills reduce to this many distinct pipelines. This is the compression the hypothesis predicts.</t>
        </is>
      </c>
    </row>
    <row r="4" ht="34" customHeight="1">
      <c r="A4" s="1" t="inlineStr">
        <is>
          <t>Rank</t>
        </is>
      </c>
      <c r="B4" s="1" t="inlineStr">
        <is>
          <t>Pipeline</t>
        </is>
      </c>
      <c r="C4" s="1" t="inlineStr">
        <is>
          <t>Length</t>
        </is>
      </c>
      <c r="D4" s="1" t="inlineStr">
        <is>
          <t>Skills using it</t>
        </is>
      </c>
      <c r="E4" s="1" t="inlineStr">
        <is>
          <t>% of curriculum</t>
        </is>
      </c>
      <c r="F4" s="1" t="inlineStr">
        <is>
          <t>Cumulative %</t>
        </is>
      </c>
      <c r="G4" s="1" t="inlineStr">
        <is>
          <t>Example skill</t>
        </is>
      </c>
    </row>
    <row r="5">
      <c r="A5" s="14" t="n">
        <v>1</v>
      </c>
      <c r="B5" s="15" t="inlineStr">
        <is>
          <t>Transform</t>
        </is>
      </c>
      <c r="C5" s="14" t="n">
        <v>1</v>
      </c>
      <c r="D5" s="14" t="n">
        <v>60</v>
      </c>
      <c r="E5" s="16" t="n">
        <v>0.196078431372549</v>
      </c>
      <c r="F5" s="16" t="n">
        <v>0.196078431372549</v>
      </c>
      <c r="G5" s="17" t="inlineStr">
        <is>
          <t>A.6 Square roots</t>
        </is>
      </c>
    </row>
    <row r="6">
      <c r="A6" s="18" t="n">
        <v>2</v>
      </c>
      <c r="B6" s="19" t="inlineStr">
        <is>
          <t>Represent</t>
        </is>
      </c>
      <c r="C6" s="18" t="n">
        <v>1</v>
      </c>
      <c r="D6" s="18" t="n">
        <v>36</v>
      </c>
      <c r="E6" s="20" t="n">
        <v>0.1176470588235294</v>
      </c>
      <c r="F6" s="20" t="n">
        <v>0.3137254901960784</v>
      </c>
      <c r="G6" s="21" t="inlineStr">
        <is>
          <t>A.12 Number lines</t>
        </is>
      </c>
    </row>
    <row r="7">
      <c r="A7" s="14" t="n">
        <v>3</v>
      </c>
      <c r="B7" s="15" t="inlineStr">
        <is>
          <t>Measure</t>
        </is>
      </c>
      <c r="C7" s="14" t="n">
        <v>1</v>
      </c>
      <c r="D7" s="14" t="n">
        <v>31</v>
      </c>
      <c r="E7" s="16" t="n">
        <v>0.1013071895424837</v>
      </c>
      <c r="F7" s="16" t="n">
        <v>0.4150326797385621</v>
      </c>
      <c r="G7" s="17" t="inlineStr">
        <is>
          <t>F.2 Midpoints</t>
        </is>
      </c>
    </row>
    <row r="8">
      <c r="A8" s="18" t="n">
        <v>4</v>
      </c>
      <c r="B8" s="19" t="inlineStr">
        <is>
          <t>Constrain</t>
        </is>
      </c>
      <c r="C8" s="18" t="n">
        <v>1</v>
      </c>
      <c r="D8" s="18" t="n">
        <v>30</v>
      </c>
      <c r="E8" s="20" t="n">
        <v>0.09803921568627451</v>
      </c>
      <c r="F8" s="20" t="n">
        <v>0.5130718954248366</v>
      </c>
      <c r="G8" s="21" t="inlineStr">
        <is>
          <t>G.3 Solve one-step linear equations</t>
        </is>
      </c>
    </row>
    <row r="9">
      <c r="A9" s="14" t="n">
        <v>5</v>
      </c>
      <c r="B9" s="15" t="inlineStr">
        <is>
          <t>Identify</t>
        </is>
      </c>
      <c r="C9" s="14" t="n">
        <v>1</v>
      </c>
      <c r="D9" s="14" t="n">
        <v>28</v>
      </c>
      <c r="E9" s="16" t="n">
        <v>0.0915032679738562</v>
      </c>
      <c r="F9" s="16" t="n">
        <v>0.6045751633986928</v>
      </c>
      <c r="G9" s="17" t="inlineStr">
        <is>
          <t>A.8 Classify rational and irrational numbers</t>
        </is>
      </c>
    </row>
    <row r="10">
      <c r="A10" s="18" t="n">
        <v>6</v>
      </c>
      <c r="B10" s="19" t="inlineStr">
        <is>
          <t>Verify</t>
        </is>
      </c>
      <c r="C10" s="18" t="n">
        <v>1</v>
      </c>
      <c r="D10" s="18" t="n">
        <v>15</v>
      </c>
      <c r="E10" s="20" t="n">
        <v>0.04901960784313725</v>
      </c>
      <c r="F10" s="20" t="n">
        <v>0.6535947712418301</v>
      </c>
      <c r="G10" s="21" t="inlineStr">
        <is>
          <t>H.3 Identify solutions to inequalities</t>
        </is>
      </c>
    </row>
    <row r="11">
      <c r="A11" s="14" t="n">
        <v>7</v>
      </c>
      <c r="B11" s="15" t="inlineStr">
        <is>
          <t>Decompose</t>
        </is>
      </c>
      <c r="C11" s="14" t="n">
        <v>1</v>
      </c>
      <c r="D11" s="14" t="n">
        <v>11</v>
      </c>
      <c r="E11" s="16" t="n">
        <v>0.03594771241830065</v>
      </c>
      <c r="F11" s="16" t="n">
        <v>0.6895424836601307</v>
      </c>
      <c r="G11" s="17" t="inlineStr">
        <is>
          <t>A.1 Factors</t>
        </is>
      </c>
    </row>
    <row r="12">
      <c r="A12" s="18" t="n">
        <v>8</v>
      </c>
      <c r="B12" s="19" t="inlineStr">
        <is>
          <t>Compare</t>
        </is>
      </c>
      <c r="C12" s="18" t="n">
        <v>1</v>
      </c>
      <c r="D12" s="18" t="n">
        <v>8</v>
      </c>
      <c r="E12" s="20" t="n">
        <v>0.0261437908496732</v>
      </c>
      <c r="F12" s="20" t="n">
        <v>0.7156862745098039</v>
      </c>
      <c r="G12" s="21" t="inlineStr">
        <is>
          <t>A.10 Compare and order rational numbers</t>
        </is>
      </c>
    </row>
    <row r="13">
      <c r="A13" s="14" t="n">
        <v>9</v>
      </c>
      <c r="B13" s="15" t="inlineStr">
        <is>
          <t>Represent -&gt; Constrain</t>
        </is>
      </c>
      <c r="C13" s="14" t="n">
        <v>2</v>
      </c>
      <c r="D13" s="14" t="n">
        <v>8</v>
      </c>
      <c r="E13" s="16" t="n">
        <v>0.0261437908496732</v>
      </c>
      <c r="F13" s="16" t="n">
        <v>0.7418300653594772</v>
      </c>
      <c r="G13" s="17" t="inlineStr">
        <is>
          <t>G.1 Model and solve equations using algebra tiles</t>
        </is>
      </c>
    </row>
    <row r="14">
      <c r="A14" s="18" t="n">
        <v>10</v>
      </c>
      <c r="B14" s="19" t="inlineStr">
        <is>
          <t>Transform -&gt; Represent</t>
        </is>
      </c>
      <c r="C14" s="18" t="n">
        <v>2</v>
      </c>
      <c r="D14" s="18" t="n">
        <v>8</v>
      </c>
      <c r="E14" s="20" t="n">
        <v>0.0261437908496732</v>
      </c>
      <c r="F14" s="20" t="n">
        <v>0.7679738562091504</v>
      </c>
      <c r="G14" s="21" t="inlineStr">
        <is>
          <t>J.10 Complete a function table from an equation</t>
        </is>
      </c>
    </row>
    <row r="15">
      <c r="A15" s="14" t="n">
        <v>11</v>
      </c>
      <c r="B15" s="15" t="inlineStr">
        <is>
          <t>Represent -&gt; Measure</t>
        </is>
      </c>
      <c r="C15" s="14" t="n">
        <v>2</v>
      </c>
      <c r="D15" s="14" t="n">
        <v>6</v>
      </c>
      <c r="E15" s="16" t="n">
        <v>0.0196078431372549</v>
      </c>
      <c r="F15" s="16" t="n">
        <v>0.7875816993464052</v>
      </c>
      <c r="G15" s="17" t="inlineStr">
        <is>
          <t>I.1 Interpret bar graphs, line graphs and histograms</t>
        </is>
      </c>
    </row>
    <row r="16">
      <c r="A16" s="18" t="n">
        <v>12</v>
      </c>
      <c r="B16" s="19" t="inlineStr">
        <is>
          <t>Compare -&gt; Measure</t>
        </is>
      </c>
      <c r="C16" s="18" t="n">
        <v>2</v>
      </c>
      <c r="D16" s="18" t="n">
        <v>5</v>
      </c>
      <c r="E16" s="20" t="n">
        <v>0.01633986928104575</v>
      </c>
      <c r="F16" s="20" t="n">
        <v>0.803921568627451</v>
      </c>
      <c r="G16" s="21" t="inlineStr">
        <is>
          <t>Y.10 Area and perimeter of similar figures</t>
        </is>
      </c>
    </row>
    <row r="17">
      <c r="A17" s="14" t="n">
        <v>13</v>
      </c>
      <c r="B17" s="15" t="inlineStr">
        <is>
          <t>Constrain -&gt; Represent</t>
        </is>
      </c>
      <c r="C17" s="14" t="n">
        <v>2</v>
      </c>
      <c r="D17" s="14" t="n">
        <v>4</v>
      </c>
      <c r="E17" s="16" t="n">
        <v>0.0130718954248366</v>
      </c>
      <c r="F17" s="16" t="n">
        <v>0.8169934640522876</v>
      </c>
      <c r="G17" s="17" t="inlineStr">
        <is>
          <t>H.7 Graph solutions to one-step linear inequalities</t>
        </is>
      </c>
    </row>
    <row r="18">
      <c r="A18" s="18" t="n">
        <v>14</v>
      </c>
      <c r="B18" s="19" t="inlineStr">
        <is>
          <t>Measure -&gt; Represent</t>
        </is>
      </c>
      <c r="C18" s="18" t="n">
        <v>2</v>
      </c>
      <c r="D18" s="18" t="n">
        <v>4</v>
      </c>
      <c r="E18" s="20" t="n">
        <v>0.0130718954248366</v>
      </c>
      <c r="F18" s="20" t="n">
        <v>0.8300653594771242</v>
      </c>
      <c r="G18" s="21" t="inlineStr">
        <is>
          <t>I.5 Box plots</t>
        </is>
      </c>
    </row>
    <row r="19">
      <c r="A19" s="14" t="n">
        <v>15</v>
      </c>
      <c r="B19" s="15" t="inlineStr">
        <is>
          <t>Measure -&gt; Compare</t>
        </is>
      </c>
      <c r="C19" s="14" t="n">
        <v>2</v>
      </c>
      <c r="D19" s="14" t="n">
        <v>4</v>
      </c>
      <c r="E19" s="16" t="n">
        <v>0.0130718954248366</v>
      </c>
      <c r="F19" s="16" t="n">
        <v>0.8431372549019608</v>
      </c>
      <c r="G19" s="17" t="inlineStr">
        <is>
          <t>L.23 Slopes of parallel and perpendicular lines</t>
        </is>
      </c>
    </row>
    <row r="20">
      <c r="A20" s="18" t="n">
        <v>16</v>
      </c>
      <c r="B20" s="19" t="inlineStr">
        <is>
          <t>Decompose -&gt; Measure -&gt; Compose</t>
        </is>
      </c>
      <c r="C20" s="18" t="n">
        <v>3</v>
      </c>
      <c r="D20" s="18" t="n">
        <v>4</v>
      </c>
      <c r="E20" s="20" t="n">
        <v>0.0130718954248366</v>
      </c>
      <c r="F20" s="20" t="n">
        <v>0.8562091503267973</v>
      </c>
      <c r="G20" s="21" t="inlineStr">
        <is>
          <t>Y.8 Area of compound figures</t>
        </is>
      </c>
    </row>
    <row r="21">
      <c r="A21" s="14" t="n">
        <v>17</v>
      </c>
      <c r="B21" s="15" t="inlineStr">
        <is>
          <t>Transform -&gt; Identify</t>
        </is>
      </c>
      <c r="C21" s="14" t="n">
        <v>2</v>
      </c>
      <c r="D21" s="14" t="n">
        <v>3</v>
      </c>
      <c r="E21" s="16" t="n">
        <v>0.009803921568627451</v>
      </c>
      <c r="F21" s="16" t="n">
        <v>0.8660130718954249</v>
      </c>
      <c r="G21" s="17" t="inlineStr">
        <is>
          <t>G.8 Find the number of solutions</t>
        </is>
      </c>
    </row>
    <row r="22">
      <c r="A22" s="18" t="n">
        <v>18</v>
      </c>
      <c r="B22" s="19" t="inlineStr">
        <is>
          <t>Represent -&gt; Generalize</t>
        </is>
      </c>
      <c r="C22" s="18" t="n">
        <v>2</v>
      </c>
      <c r="D22" s="18" t="n">
        <v>3</v>
      </c>
      <c r="E22" s="20" t="n">
        <v>0.009803921568627451</v>
      </c>
      <c r="F22" s="20" t="n">
        <v>0.8758169934640523</v>
      </c>
      <c r="G22" s="21" t="inlineStr">
        <is>
          <t>I.6 Interpret a scatter plot</t>
        </is>
      </c>
    </row>
    <row r="23">
      <c r="A23" s="14" t="n">
        <v>19</v>
      </c>
      <c r="B23" s="15" t="inlineStr">
        <is>
          <t>Generalize -&gt; Represent</t>
        </is>
      </c>
      <c r="C23" s="14" t="n">
        <v>2</v>
      </c>
      <c r="D23" s="14" t="n">
        <v>3</v>
      </c>
      <c r="E23" s="16" t="n">
        <v>0.009803921568627451</v>
      </c>
      <c r="F23" s="16" t="n">
        <v>0.8856209150326797</v>
      </c>
      <c r="G23" s="17" t="inlineStr">
        <is>
          <t>I.7 Scatter plots: line of best fit</t>
        </is>
      </c>
    </row>
    <row r="24">
      <c r="A24" s="18" t="n">
        <v>20</v>
      </c>
      <c r="B24" s="19" t="inlineStr">
        <is>
          <t>Transform -&gt; Constrain</t>
        </is>
      </c>
      <c r="C24" s="18" t="n">
        <v>2</v>
      </c>
      <c r="D24" s="18" t="n">
        <v>3</v>
      </c>
      <c r="E24" s="20" t="n">
        <v>0.009803921568627451</v>
      </c>
      <c r="F24" s="20" t="n">
        <v>0.8954248366013072</v>
      </c>
      <c r="G24" s="21" t="inlineStr">
        <is>
          <t>Q.3 Solve a quadratic equation using square roots</t>
        </is>
      </c>
    </row>
    <row r="25">
      <c r="A25" s="14" t="n">
        <v>21</v>
      </c>
      <c r="B25" s="15" t="inlineStr">
        <is>
          <t>Compare -&gt; Constrain</t>
        </is>
      </c>
      <c r="C25" s="14" t="n">
        <v>2</v>
      </c>
      <c r="D25" s="14" t="n">
        <v>3</v>
      </c>
      <c r="E25" s="16" t="n">
        <v>0.009803921568627451</v>
      </c>
      <c r="F25" s="16" t="n">
        <v>0.9052287581699346</v>
      </c>
      <c r="G25" s="17" t="inlineStr">
        <is>
          <t>AA.3 Solve problems involving corresponding parts</t>
        </is>
      </c>
    </row>
    <row r="26">
      <c r="A26" s="18" t="n">
        <v>22</v>
      </c>
      <c r="B26" s="19" t="inlineStr">
        <is>
          <t>Compose -&gt; Measure</t>
        </is>
      </c>
      <c r="C26" s="18" t="n">
        <v>2</v>
      </c>
      <c r="D26" s="18" t="n">
        <v>3</v>
      </c>
      <c r="E26" s="20" t="n">
        <v>0.009803921568627451</v>
      </c>
      <c r="F26" s="20" t="n">
        <v>0.9150326797385621</v>
      </c>
      <c r="G26" s="21" t="inlineStr">
        <is>
          <t>GG.2 Compound events: find the number of outcomes</t>
        </is>
      </c>
    </row>
    <row r="27">
      <c r="A27" s="14" t="n">
        <v>23</v>
      </c>
      <c r="B27" s="15" t="inlineStr">
        <is>
          <t>Decompose -&gt; Compare</t>
        </is>
      </c>
      <c r="C27" s="14" t="n">
        <v>2</v>
      </c>
      <c r="D27" s="14" t="n">
        <v>2</v>
      </c>
      <c r="E27" s="16" t="n">
        <v>0.006535947712418301</v>
      </c>
      <c r="F27" s="16" t="n">
        <v>0.9215686274509803</v>
      </c>
      <c r="G27" s="17" t="inlineStr">
        <is>
          <t>A.3 Greatest common factor</t>
        </is>
      </c>
    </row>
    <row r="28">
      <c r="A28" s="18" t="n">
        <v>24</v>
      </c>
      <c r="B28" s="19" t="inlineStr">
        <is>
          <t>Measure -&gt; Represent -&gt; Constrain</t>
        </is>
      </c>
      <c r="C28" s="18" t="n">
        <v>3</v>
      </c>
      <c r="D28" s="18" t="n">
        <v>2</v>
      </c>
      <c r="E28" s="20" t="n">
        <v>0.006535947712418301</v>
      </c>
      <c r="F28" s="20" t="n">
        <v>0.9281045751633987</v>
      </c>
      <c r="G28" s="21" t="inlineStr">
        <is>
          <t>K.5 Write and solve direct variation equations</t>
        </is>
      </c>
    </row>
    <row r="29">
      <c r="A29" s="14" t="n">
        <v>25</v>
      </c>
      <c r="B29" s="15" t="inlineStr">
        <is>
          <t>Represent -&gt; Identify</t>
        </is>
      </c>
      <c r="C29" s="14" t="n">
        <v>2</v>
      </c>
      <c r="D29" s="14" t="n">
        <v>2</v>
      </c>
      <c r="E29" s="16" t="n">
        <v>0.006535947712418301</v>
      </c>
      <c r="F29" s="16" t="n">
        <v>0.934640522875817</v>
      </c>
      <c r="G29" s="17" t="inlineStr">
        <is>
          <t>M.4 Find the number of solutions to a system of equations by graphing</t>
        </is>
      </c>
    </row>
    <row r="30">
      <c r="A30" s="18" t="n">
        <v>26</v>
      </c>
      <c r="B30" s="19" t="inlineStr">
        <is>
          <t>Represent -&gt; Transform</t>
        </is>
      </c>
      <c r="C30" s="18" t="n">
        <v>2</v>
      </c>
      <c r="D30" s="18" t="n">
        <v>2</v>
      </c>
      <c r="E30" s="20" t="n">
        <v>0.006535947712418301</v>
      </c>
      <c r="F30" s="20" t="n">
        <v>0.9411764705882353</v>
      </c>
      <c r="G30" s="21" t="inlineStr">
        <is>
          <t>O.3 Add and subtract polynomials using algebra tiles</t>
        </is>
      </c>
    </row>
    <row r="31">
      <c r="A31" s="14" t="n">
        <v>27</v>
      </c>
      <c r="B31" s="15" t="inlineStr">
        <is>
          <t>Measure -&gt; Identify</t>
        </is>
      </c>
      <c r="C31" s="14" t="n">
        <v>2</v>
      </c>
      <c r="D31" s="14" t="n">
        <v>2</v>
      </c>
      <c r="E31" s="16" t="n">
        <v>0.006535947712418301</v>
      </c>
      <c r="F31" s="16" t="n">
        <v>0.9477124183006536</v>
      </c>
      <c r="G31" s="17" t="inlineStr">
        <is>
          <t>Q.9 Using the discriminant</t>
        </is>
      </c>
    </row>
    <row r="32">
      <c r="A32" s="18" t="n">
        <v>28</v>
      </c>
      <c r="B32" s="19" t="inlineStr">
        <is>
          <t>Compose</t>
        </is>
      </c>
      <c r="C32" s="18" t="n">
        <v>1</v>
      </c>
      <c r="D32" s="18" t="n">
        <v>2</v>
      </c>
      <c r="E32" s="20" t="n">
        <v>0.006535947712418301</v>
      </c>
      <c r="F32" s="20" t="n">
        <v>0.9542483660130719</v>
      </c>
      <c r="G32" s="21" t="inlineStr">
        <is>
          <t>X.1 Construct an angle bisector</t>
        </is>
      </c>
    </row>
    <row r="33">
      <c r="A33" s="14" t="n">
        <v>29</v>
      </c>
      <c r="B33" s="15" t="inlineStr">
        <is>
          <t>Decompose -&gt; Compose</t>
        </is>
      </c>
      <c r="C33" s="14" t="n">
        <v>2</v>
      </c>
      <c r="D33" s="14" t="n">
        <v>1</v>
      </c>
      <c r="E33" s="16" t="n">
        <v>0.00326797385620915</v>
      </c>
      <c r="F33" s="16" t="n">
        <v>0.9575163398692811</v>
      </c>
      <c r="G33" s="17" t="inlineStr">
        <is>
          <t>A.4 Least common multiple</t>
        </is>
      </c>
    </row>
    <row r="34">
      <c r="A34" s="18" t="n">
        <v>30</v>
      </c>
      <c r="B34" s="19" t="inlineStr">
        <is>
          <t>Represent -&gt; Decompose -&gt; Compare</t>
        </is>
      </c>
      <c r="C34" s="18" t="n">
        <v>3</v>
      </c>
      <c r="D34" s="18" t="n">
        <v>1</v>
      </c>
      <c r="E34" s="20" t="n">
        <v>0.00326797385620915</v>
      </c>
      <c r="F34" s="20" t="n">
        <v>0.9607843137254902</v>
      </c>
      <c r="G34" s="21" t="inlineStr">
        <is>
          <t>A.5 GCF and LCM: word problems</t>
        </is>
      </c>
    </row>
    <row r="35">
      <c r="A35" s="14" t="n">
        <v>31</v>
      </c>
      <c r="B35" s="15" t="inlineStr">
        <is>
          <t>Transform -&gt; Compare</t>
        </is>
      </c>
      <c r="C35" s="14" t="n">
        <v>2</v>
      </c>
      <c r="D35" s="14" t="n">
        <v>1</v>
      </c>
      <c r="E35" s="16" t="n">
        <v>0.00326797385620915</v>
      </c>
      <c r="F35" s="16" t="n">
        <v>0.9640522875816994</v>
      </c>
      <c r="G35" s="17" t="inlineStr">
        <is>
          <t>B.9 Identify equivalent expressions involving exponents</t>
        </is>
      </c>
    </row>
    <row r="36">
      <c r="A36" s="18" t="n">
        <v>32</v>
      </c>
      <c r="B36" s="19" t="inlineStr">
        <is>
          <t>Represent -&gt; Compare</t>
        </is>
      </c>
      <c r="C36" s="18" t="n">
        <v>2</v>
      </c>
      <c r="D36" s="18" t="n">
        <v>1</v>
      </c>
      <c r="E36" s="20" t="n">
        <v>0.00326797385620915</v>
      </c>
      <c r="F36" s="20" t="n">
        <v>0.9673202614379085</v>
      </c>
      <c r="G36" s="21" t="inlineStr">
        <is>
          <t>L.14 Compare linear functions: graphs, tables and equations</t>
        </is>
      </c>
    </row>
    <row r="37">
      <c r="A37" s="14" t="n">
        <v>33</v>
      </c>
      <c r="B37" s="15" t="inlineStr">
        <is>
          <t>Compose -&gt; Transform</t>
        </is>
      </c>
      <c r="C37" s="14" t="n">
        <v>2</v>
      </c>
      <c r="D37" s="14" t="n">
        <v>1</v>
      </c>
      <c r="E37" s="16" t="n">
        <v>0.00326797385620915</v>
      </c>
      <c r="F37" s="16" t="n">
        <v>0.9705882352941176</v>
      </c>
      <c r="G37" s="17" t="inlineStr">
        <is>
          <t>O.5 Add polynomials to find perimeter</t>
        </is>
      </c>
    </row>
    <row r="38">
      <c r="A38" s="18" t="n">
        <v>34</v>
      </c>
      <c r="B38" s="19" t="inlineStr">
        <is>
          <t>Represent -&gt; Decompose</t>
        </is>
      </c>
      <c r="C38" s="18" t="n">
        <v>2</v>
      </c>
      <c r="D38" s="18" t="n">
        <v>1</v>
      </c>
      <c r="E38" s="20" t="n">
        <v>0.00326797385620915</v>
      </c>
      <c r="F38" s="20" t="n">
        <v>0.9738562091503268</v>
      </c>
      <c r="G38" s="21" t="inlineStr">
        <is>
          <t>P.5 Factor quadratics using algebra tiles</t>
        </is>
      </c>
    </row>
    <row r="39">
      <c r="A39" s="14" t="n">
        <v>35</v>
      </c>
      <c r="B39" s="15" t="inlineStr">
        <is>
          <t>Transform -&gt; Decompose -&gt; Constrain</t>
        </is>
      </c>
      <c r="C39" s="14" t="n">
        <v>3</v>
      </c>
      <c r="D39" s="14" t="n">
        <v>1</v>
      </c>
      <c r="E39" s="16" t="n">
        <v>0.00326797385620915</v>
      </c>
      <c r="F39" s="16" t="n">
        <v>0.9771241830065359</v>
      </c>
      <c r="G39" s="17" t="inlineStr">
        <is>
          <t>Q.5 Solve a quadratic equation by factoring</t>
        </is>
      </c>
    </row>
    <row r="40">
      <c r="A40" s="18" t="n">
        <v>36</v>
      </c>
      <c r="B40" s="19" t="inlineStr">
        <is>
          <t>Decompose -&gt; Transform</t>
        </is>
      </c>
      <c r="C40" s="18" t="n">
        <v>2</v>
      </c>
      <c r="D40" s="18" t="n">
        <v>1</v>
      </c>
      <c r="E40" s="20" t="n">
        <v>0.00326797385620915</v>
      </c>
      <c r="F40" s="20" t="n">
        <v>0.9803921568627451</v>
      </c>
      <c r="G40" s="21" t="inlineStr">
        <is>
          <t>T.3 Simplify rational expressions</t>
        </is>
      </c>
    </row>
    <row r="41">
      <c r="A41" s="14" t="n">
        <v>37</v>
      </c>
      <c r="B41" s="15" t="inlineStr">
        <is>
          <t>Compose -&gt; Verify</t>
        </is>
      </c>
      <c r="C41" s="14" t="n">
        <v>2</v>
      </c>
      <c r="D41" s="14" t="n">
        <v>1</v>
      </c>
      <c r="E41" s="16" t="n">
        <v>0.00326797385620915</v>
      </c>
      <c r="F41" s="16" t="n">
        <v>0.9836601307189542</v>
      </c>
      <c r="G41" s="17" t="inlineStr">
        <is>
          <t>V.8 Biconditionals</t>
        </is>
      </c>
    </row>
    <row r="42">
      <c r="A42" s="18" t="n">
        <v>38</v>
      </c>
      <c r="B42" s="19" t="inlineStr">
        <is>
          <t>Transform -&gt; Measure</t>
        </is>
      </c>
      <c r="C42" s="18" t="n">
        <v>2</v>
      </c>
      <c r="D42" s="18" t="n">
        <v>1</v>
      </c>
      <c r="E42" s="20" t="n">
        <v>0.00326797385620915</v>
      </c>
      <c r="F42" s="20" t="n">
        <v>0.9869281045751634</v>
      </c>
      <c r="G42" s="21" t="inlineStr">
        <is>
          <t>W.6 Unit prices with imperial length conversions</t>
        </is>
      </c>
    </row>
    <row r="43">
      <c r="A43" s="14" t="n">
        <v>39</v>
      </c>
      <c r="B43" s="15" t="inlineStr">
        <is>
          <t>Decompose -&gt; Represent</t>
        </is>
      </c>
      <c r="C43" s="14" t="n">
        <v>2</v>
      </c>
      <c r="D43" s="14" t="n">
        <v>1</v>
      </c>
      <c r="E43" s="16" t="n">
        <v>0.00326797385620915</v>
      </c>
      <c r="F43" s="16" t="n">
        <v>0.9901960784313726</v>
      </c>
      <c r="G43" s="17" t="inlineStr">
        <is>
          <t>Z.13 Cross-sections of three-dimensional figures</t>
        </is>
      </c>
    </row>
    <row r="44">
      <c r="A44" s="18" t="n">
        <v>40</v>
      </c>
      <c r="B44" s="19" t="inlineStr">
        <is>
          <t>Measure -&gt; Verify</t>
        </is>
      </c>
      <c r="C44" s="18" t="n">
        <v>2</v>
      </c>
      <c r="D44" s="18" t="n">
        <v>1</v>
      </c>
      <c r="E44" s="20" t="n">
        <v>0.00326797385620915</v>
      </c>
      <c r="F44" s="20" t="n">
        <v>0.9934640522875817</v>
      </c>
      <c r="G44" s="21" t="inlineStr">
        <is>
          <t>AA.8 SSS Theorem in the coordinate plane</t>
        </is>
      </c>
    </row>
    <row r="45">
      <c r="A45" s="14" t="n">
        <v>41</v>
      </c>
      <c r="B45" s="15" t="inlineStr">
        <is>
          <t>Generalize</t>
        </is>
      </c>
      <c r="C45" s="14" t="n">
        <v>1</v>
      </c>
      <c r="D45" s="14" t="n">
        <v>1</v>
      </c>
      <c r="E45" s="16" t="n">
        <v>0.00326797385620915</v>
      </c>
      <c r="F45" s="16" t="n">
        <v>0.9967320261437909</v>
      </c>
      <c r="G45" s="17" t="inlineStr">
        <is>
          <t>FF.3 Translations: write the rule</t>
        </is>
      </c>
    </row>
    <row r="46">
      <c r="A46" s="18" t="n">
        <v>42</v>
      </c>
      <c r="B46" s="19" t="inlineStr">
        <is>
          <t>Compose -&gt; Transform -&gt; Represent</t>
        </is>
      </c>
      <c r="C46" s="18" t="n">
        <v>3</v>
      </c>
      <c r="D46" s="18" t="n">
        <v>1</v>
      </c>
      <c r="E46" s="20" t="n">
        <v>0.00326797385620915</v>
      </c>
      <c r="F46" s="20" t="n">
        <v>1</v>
      </c>
      <c r="G46" s="21" t="inlineStr">
        <is>
          <t>FF.10 Compositions of congruence transformations: graph the image</t>
        </is>
      </c>
    </row>
    <row r="48">
      <c r="A48" s="22" t="inlineStr">
        <is>
          <t>Curriculum skills</t>
        </is>
      </c>
      <c r="B48" s="23" t="n">
        <v>306</v>
      </c>
    </row>
    <row r="49">
      <c r="A49" s="22" t="inlineStr">
        <is>
          <t>Distinct pipelines</t>
        </is>
      </c>
      <c r="B49" s="23" t="n">
        <v>42</v>
      </c>
    </row>
    <row r="50">
      <c r="A50" s="22" t="inlineStr">
        <is>
          <t>Primitives in vocabulary</t>
        </is>
      </c>
      <c r="B50" s="23" t="n">
        <v>10</v>
      </c>
    </row>
    <row r="51">
      <c r="A51" s="22" t="inlineStr">
        <is>
          <t>Mean pipeline length</t>
        </is>
      </c>
      <c r="B51" s="23" t="n">
        <v>1.3</v>
      </c>
    </row>
    <row r="52">
      <c r="A52" s="22" t="inlineStr">
        <is>
          <t>Median pipeline length</t>
        </is>
      </c>
      <c r="B52" s="23" t="n">
        <v>1</v>
      </c>
    </row>
    <row r="53">
      <c r="A53" s="22" t="inlineStr">
        <is>
          <t>Longest pipeline</t>
        </is>
      </c>
      <c r="B53" s="23" t="n">
        <v>3</v>
      </c>
    </row>
    <row r="54">
      <c r="A54" s="22" t="inlineStr">
        <is>
          <t>Skills needing ONE primitive (atomic)</t>
        </is>
      </c>
      <c r="B54" s="23" t="n">
        <v>222</v>
      </c>
    </row>
    <row r="55">
      <c r="A55" s="22" t="inlineStr">
        <is>
          <t>Skills needing a 2-step pipeline</t>
        </is>
      </c>
      <c r="B55" s="23" t="n">
        <v>75</v>
      </c>
    </row>
    <row r="56">
      <c r="A56" s="22" t="inlineStr">
        <is>
          <t>Skills needing a 3-step pipeline</t>
        </is>
      </c>
      <c r="B56" s="23" t="n">
        <v>9</v>
      </c>
    </row>
    <row r="57">
      <c r="A57" s="22" t="inlineStr">
        <is>
          <t>Skills covered by the top 12 pipelines</t>
        </is>
      </c>
      <c r="B57" s="23" t="n">
        <v>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7" t="inlineStr">
        <is>
          <t>Falsification test - do the pipelines type-check?</t>
        </is>
      </c>
    </row>
    <row r="2">
      <c r="A2" s="8" t="inlineStr">
        <is>
          <t>If primitives are real typed operations, every step's output must be a legal input to the next step. This test can fail. It did not.</t>
        </is>
      </c>
    </row>
    <row r="4">
      <c r="A4" s="12" t="inlineStr"/>
    </row>
    <row r="5">
      <c r="A5" s="24" t="inlineStr">
        <is>
          <t>The rule being tested</t>
        </is>
      </c>
    </row>
    <row r="6">
      <c r="A6" s="12" t="inlineStr">
        <is>
          <t>For each pipeline step N, the output type of step N must appear in the accepted-input set of step N+1. A single violation would mean at least one primitive is mis-defined.</t>
        </is>
      </c>
    </row>
    <row r="7">
      <c r="A7" s="12" t="inlineStr"/>
    </row>
    <row r="8">
      <c r="A8" s="24" t="inlineStr">
        <is>
          <t>Result</t>
        </is>
      </c>
    </row>
    <row r="9">
      <c r="A9" s="12" t="inlineStr">
        <is>
          <t>Pipelines checked: 306</t>
        </is>
      </c>
    </row>
    <row r="10">
      <c r="A10" s="25" t="inlineStr">
        <is>
          <t>Type errors found: 0</t>
        </is>
      </c>
    </row>
    <row r="11">
      <c r="A11" s="12" t="inlineStr"/>
    </row>
    <row r="12">
      <c r="A12" s="24" t="inlineStr">
        <is>
          <t>Two predictions the type system made BEFORE the data was examined</t>
        </is>
      </c>
    </row>
    <row r="13">
      <c r="A13" s="12" t="inlineStr">
        <is>
          <t>1. Verify returns Boolean. Nothing consumes a Boolean, so Verify must always be the LAST step. Observed: 17 uses, 17 of them final, 0 mid-pipeline. Prediction held.</t>
        </is>
      </c>
    </row>
    <row r="14">
      <c r="A14" s="12" t="inlineStr">
        <is>
          <t>2. Identify returns Category. Nothing downstream consumes a Category, so Identify must also be terminal. Observed: 35 uses, 35 of them final, 0 mid-pipeline. Prediction held.</t>
        </is>
      </c>
    </row>
    <row r="15">
      <c r="A15" s="12" t="inlineStr">
        <is>
          <t>These were not enforced during classification. Each skill was classified on its own reasoning, then the pattern was measured afterwards. That is what makes it evidence rather than bookkeeping.</t>
        </is>
      </c>
    </row>
    <row r="16">
      <c r="A16" s="12" t="inlineStr"/>
    </row>
    <row r="17">
      <c r="A17" s="24" t="inlineStr">
        <is>
          <t>Three input types were widened during the check, each for a stated reason</t>
        </is>
      </c>
    </row>
    <row r="18">
      <c r="A18" s="12" t="inlineStr">
        <is>
          <t>- Measure accepts Relation: a known ratio is legitimate input to a measurement (areas of similar figures).</t>
        </is>
      </c>
    </row>
    <row r="19">
      <c r="A19" s="12" t="inlineStr">
        <is>
          <t>- Constrain accepts Relation: a proportion functions as a condition (Triangle Proportionality Theorem).</t>
        </is>
      </c>
    </row>
    <row r="20">
      <c r="A20" s="12" t="inlineStr">
        <is>
          <t>- Constrain accepts Parts: factored parts become conditions (zero product property).</t>
        </is>
      </c>
    </row>
    <row r="21">
      <c r="A21" s="12" t="inlineStr">
        <is>
          <t>These are recorded because they are the honest weak point: the checker was adjusted to fit the data. Each widening should be independently defensible, or the test is circular.</t>
        </is>
      </c>
    </row>
    <row r="22">
      <c r="A22" s="12" t="inlineStr"/>
    </row>
    <row r="23">
      <c r="A23" s="24" t="inlineStr">
        <is>
          <t>What would have falsified the hypothesis</t>
        </is>
      </c>
    </row>
    <row r="24">
      <c r="A24" s="12" t="inlineStr">
        <is>
          <t>A pipeline requiring Verify or Identify to feed a later step, with no way to rewrite it. That would show the primitive returns something richer than a verdict or a label - meaning it is not one operation but several.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2" customWidth="1" min="13" max="13"/>
  </cols>
  <sheetData>
    <row r="1">
      <c r="A1" s="7" t="inlineStr">
        <is>
          <t>Does each traditional category collapse onto a few primitives?</t>
        </is>
      </c>
    </row>
    <row r="2">
      <c r="A2" s="8" t="inlineStr">
        <is>
          <t>Counts every appearance of a primitive at any pipeline step within each IXL category.</t>
        </is>
      </c>
    </row>
    <row r="4" ht="46" customHeight="1">
      <c r="A4" s="1" t="inlineStr">
        <is>
          <t>IXL category</t>
        </is>
      </c>
      <c r="B4" s="1" t="inlineStr">
        <is>
          <t>Skills</t>
        </is>
      </c>
      <c r="C4" s="1" t="inlineStr">
        <is>
          <t>Identify</t>
        </is>
      </c>
      <c r="D4" s="1" t="inlineStr">
        <is>
          <t>Represent</t>
        </is>
      </c>
      <c r="E4" s="1" t="inlineStr">
        <is>
          <t>Transform</t>
        </is>
      </c>
      <c r="F4" s="1" t="inlineStr">
        <is>
          <t>Compare</t>
        </is>
      </c>
      <c r="G4" s="1" t="inlineStr">
        <is>
          <t>Compose</t>
        </is>
      </c>
      <c r="H4" s="1" t="inlineStr">
        <is>
          <t>Decompose</t>
        </is>
      </c>
      <c r="I4" s="1" t="inlineStr">
        <is>
          <t>Constrain</t>
        </is>
      </c>
      <c r="J4" s="1" t="inlineStr">
        <is>
          <t>Measure</t>
        </is>
      </c>
      <c r="K4" s="1" t="inlineStr">
        <is>
          <t>Generalize</t>
        </is>
      </c>
      <c r="L4" s="1" t="inlineStr">
        <is>
          <t>Verify</t>
        </is>
      </c>
      <c r="M4" s="1" t="inlineStr">
        <is>
          <t>Distinct primitives</t>
        </is>
      </c>
    </row>
    <row r="5">
      <c r="A5" s="15" t="inlineStr">
        <is>
          <t>A. Numbers</t>
        </is>
      </c>
      <c r="B5" s="18">
        <f>COUNTIF('Classification Matrix'!$D$2:$D$307,"A")</f>
        <v/>
      </c>
      <c r="C5" s="18">
        <f>COUNTIFS('Classification Matrix'!$D$2:$D$307,"A",'Classification Matrix'!$G$2:$G$307,C$4)+COUNTIFS('Classification Matrix'!$D$2:$D$307,"A",'Classification Matrix'!$H$2:$H$307,C$4)+COUNTIFS('Classification Matrix'!$D$2:$D$307,"A",'Classification Matrix'!$I$2:$I$307,C$4)</f>
        <v/>
      </c>
      <c r="D5" s="18">
        <f>COUNTIFS('Classification Matrix'!$D$2:$D$307,"A",'Classification Matrix'!$G$2:$G$307,D$4)+COUNTIFS('Classification Matrix'!$D$2:$D$307,"A",'Classification Matrix'!$H$2:$H$307,D$4)+COUNTIFS('Classification Matrix'!$D$2:$D$307,"A",'Classification Matrix'!$I$2:$I$307,D$4)</f>
        <v/>
      </c>
      <c r="E5" s="18">
        <f>COUNTIFS('Classification Matrix'!$D$2:$D$307,"A",'Classification Matrix'!$G$2:$G$307,E$4)+COUNTIFS('Classification Matrix'!$D$2:$D$307,"A",'Classification Matrix'!$H$2:$H$307,E$4)+COUNTIFS('Classification Matrix'!$D$2:$D$307,"A",'Classification Matrix'!$I$2:$I$307,E$4)</f>
        <v/>
      </c>
      <c r="F5" s="18">
        <f>COUNTIFS('Classification Matrix'!$D$2:$D$307,"A",'Classification Matrix'!$G$2:$G$307,F$4)+COUNTIFS('Classification Matrix'!$D$2:$D$307,"A",'Classification Matrix'!$H$2:$H$307,F$4)+COUNTIFS('Classification Matrix'!$D$2:$D$307,"A",'Classification Matrix'!$I$2:$I$307,F$4)</f>
        <v/>
      </c>
      <c r="G5" s="18">
        <f>COUNTIFS('Classification Matrix'!$D$2:$D$307,"A",'Classification Matrix'!$G$2:$G$307,G$4)+COUNTIFS('Classification Matrix'!$D$2:$D$307,"A",'Classification Matrix'!$H$2:$H$307,G$4)+COUNTIFS('Classification Matrix'!$D$2:$D$307,"A",'Classification Matrix'!$I$2:$I$307,G$4)</f>
        <v/>
      </c>
      <c r="H5" s="18">
        <f>COUNTIFS('Classification Matrix'!$D$2:$D$307,"A",'Classification Matrix'!$G$2:$G$307,H$4)+COUNTIFS('Classification Matrix'!$D$2:$D$307,"A",'Classification Matrix'!$H$2:$H$307,H$4)+COUNTIFS('Classification Matrix'!$D$2:$D$307,"A",'Classification Matrix'!$I$2:$I$307,H$4)</f>
        <v/>
      </c>
      <c r="I5" s="18">
        <f>COUNTIFS('Classification Matrix'!$D$2:$D$307,"A",'Classification Matrix'!$G$2:$G$307,I$4)+COUNTIFS('Classification Matrix'!$D$2:$D$307,"A",'Classification Matrix'!$H$2:$H$307,I$4)+COUNTIFS('Classification Matrix'!$D$2:$D$307,"A",'Classification Matrix'!$I$2:$I$307,I$4)</f>
        <v/>
      </c>
      <c r="J5" s="18">
        <f>COUNTIFS('Classification Matrix'!$D$2:$D$307,"A",'Classification Matrix'!$G$2:$G$307,J$4)+COUNTIFS('Classification Matrix'!$D$2:$D$307,"A",'Classification Matrix'!$H$2:$H$307,J$4)+COUNTIFS('Classification Matrix'!$D$2:$D$307,"A",'Classification Matrix'!$I$2:$I$307,J$4)</f>
        <v/>
      </c>
      <c r="K5" s="18">
        <f>COUNTIFS('Classification Matrix'!$D$2:$D$307,"A",'Classification Matrix'!$G$2:$G$307,K$4)+COUNTIFS('Classification Matrix'!$D$2:$D$307,"A",'Classification Matrix'!$H$2:$H$307,K$4)+COUNTIFS('Classification Matrix'!$D$2:$D$307,"A",'Classification Matrix'!$I$2:$I$307,K$4)</f>
        <v/>
      </c>
      <c r="L5" s="18">
        <f>COUNTIFS('Classification Matrix'!$D$2:$D$307,"A",'Classification Matrix'!$G$2:$G$307,L$4)+COUNTIFS('Classification Matrix'!$D$2:$D$307,"A",'Classification Matrix'!$H$2:$H$307,L$4)+COUNTIFS('Classification Matrix'!$D$2:$D$307,"A",'Classification Matrix'!$I$2:$I$307,L$4)</f>
        <v/>
      </c>
      <c r="M5" s="18">
        <f>COUNTIF(C5:L5,"&gt;0")</f>
        <v/>
      </c>
    </row>
    <row r="6">
      <c r="A6" s="15" t="inlineStr">
        <is>
          <t>B. Exponents</t>
        </is>
      </c>
      <c r="B6" s="14">
        <f>COUNTIF('Classification Matrix'!$D$2:$D$307,"B")</f>
        <v/>
      </c>
      <c r="C6" s="14">
        <f>COUNTIFS('Classification Matrix'!$D$2:$D$307,"B",'Classification Matrix'!$G$2:$G$307,C$4)+COUNTIFS('Classification Matrix'!$D$2:$D$307,"B",'Classification Matrix'!$H$2:$H$307,C$4)+COUNTIFS('Classification Matrix'!$D$2:$D$307,"B",'Classification Matrix'!$I$2:$I$307,C$4)</f>
        <v/>
      </c>
      <c r="D6" s="14">
        <f>COUNTIFS('Classification Matrix'!$D$2:$D$307,"B",'Classification Matrix'!$G$2:$G$307,D$4)+COUNTIFS('Classification Matrix'!$D$2:$D$307,"B",'Classification Matrix'!$H$2:$H$307,D$4)+COUNTIFS('Classification Matrix'!$D$2:$D$307,"B",'Classification Matrix'!$I$2:$I$307,D$4)</f>
        <v/>
      </c>
      <c r="E6" s="14">
        <f>COUNTIFS('Classification Matrix'!$D$2:$D$307,"B",'Classification Matrix'!$G$2:$G$307,E$4)+COUNTIFS('Classification Matrix'!$D$2:$D$307,"B",'Classification Matrix'!$H$2:$H$307,E$4)+COUNTIFS('Classification Matrix'!$D$2:$D$307,"B",'Classification Matrix'!$I$2:$I$307,E$4)</f>
        <v/>
      </c>
      <c r="F6" s="14">
        <f>COUNTIFS('Classification Matrix'!$D$2:$D$307,"B",'Classification Matrix'!$G$2:$G$307,F$4)+COUNTIFS('Classification Matrix'!$D$2:$D$307,"B",'Classification Matrix'!$H$2:$H$307,F$4)+COUNTIFS('Classification Matrix'!$D$2:$D$307,"B",'Classification Matrix'!$I$2:$I$307,F$4)</f>
        <v/>
      </c>
      <c r="G6" s="14">
        <f>COUNTIFS('Classification Matrix'!$D$2:$D$307,"B",'Classification Matrix'!$G$2:$G$307,G$4)+COUNTIFS('Classification Matrix'!$D$2:$D$307,"B",'Classification Matrix'!$H$2:$H$307,G$4)+COUNTIFS('Classification Matrix'!$D$2:$D$307,"B",'Classification Matrix'!$I$2:$I$307,G$4)</f>
        <v/>
      </c>
      <c r="H6" s="14">
        <f>COUNTIFS('Classification Matrix'!$D$2:$D$307,"B",'Classification Matrix'!$G$2:$G$307,H$4)+COUNTIFS('Classification Matrix'!$D$2:$D$307,"B",'Classification Matrix'!$H$2:$H$307,H$4)+COUNTIFS('Classification Matrix'!$D$2:$D$307,"B",'Classification Matrix'!$I$2:$I$307,H$4)</f>
        <v/>
      </c>
      <c r="I6" s="14">
        <f>COUNTIFS('Classification Matrix'!$D$2:$D$307,"B",'Classification Matrix'!$G$2:$G$307,I$4)+COUNTIFS('Classification Matrix'!$D$2:$D$307,"B",'Classification Matrix'!$H$2:$H$307,I$4)+COUNTIFS('Classification Matrix'!$D$2:$D$307,"B",'Classification Matrix'!$I$2:$I$307,I$4)</f>
        <v/>
      </c>
      <c r="J6" s="14">
        <f>COUNTIFS('Classification Matrix'!$D$2:$D$307,"B",'Classification Matrix'!$G$2:$G$307,J$4)+COUNTIFS('Classification Matrix'!$D$2:$D$307,"B",'Classification Matrix'!$H$2:$H$307,J$4)+COUNTIFS('Classification Matrix'!$D$2:$D$307,"B",'Classification Matrix'!$I$2:$I$307,J$4)</f>
        <v/>
      </c>
      <c r="K6" s="14">
        <f>COUNTIFS('Classification Matrix'!$D$2:$D$307,"B",'Classification Matrix'!$G$2:$G$307,K$4)+COUNTIFS('Classification Matrix'!$D$2:$D$307,"B",'Classification Matrix'!$H$2:$H$307,K$4)+COUNTIFS('Classification Matrix'!$D$2:$D$307,"B",'Classification Matrix'!$I$2:$I$307,K$4)</f>
        <v/>
      </c>
      <c r="L6" s="14">
        <f>COUNTIFS('Classification Matrix'!$D$2:$D$307,"B",'Classification Matrix'!$G$2:$G$307,L$4)+COUNTIFS('Classification Matrix'!$D$2:$D$307,"B",'Classification Matrix'!$H$2:$H$307,L$4)+COUNTIFS('Classification Matrix'!$D$2:$D$307,"B",'Classification Matrix'!$I$2:$I$307,L$4)</f>
        <v/>
      </c>
      <c r="M6" s="14">
        <f>COUNTIF(C6:L6,"&gt;0")</f>
        <v/>
      </c>
    </row>
    <row r="7">
      <c r="A7" s="15" t="inlineStr">
        <is>
          <t>C. Scientific notation</t>
        </is>
      </c>
      <c r="B7" s="18">
        <f>COUNTIF('Classification Matrix'!$D$2:$D$307,"C")</f>
        <v/>
      </c>
      <c r="C7" s="18">
        <f>COUNTIFS('Classification Matrix'!$D$2:$D$307,"C",'Classification Matrix'!$G$2:$G$307,C$4)+COUNTIFS('Classification Matrix'!$D$2:$D$307,"C",'Classification Matrix'!$H$2:$H$307,C$4)+COUNTIFS('Classification Matrix'!$D$2:$D$307,"C",'Classification Matrix'!$I$2:$I$307,C$4)</f>
        <v/>
      </c>
      <c r="D7" s="18">
        <f>COUNTIFS('Classification Matrix'!$D$2:$D$307,"C",'Classification Matrix'!$G$2:$G$307,D$4)+COUNTIFS('Classification Matrix'!$D$2:$D$307,"C",'Classification Matrix'!$H$2:$H$307,D$4)+COUNTIFS('Classification Matrix'!$D$2:$D$307,"C",'Classification Matrix'!$I$2:$I$307,D$4)</f>
        <v/>
      </c>
      <c r="E7" s="18">
        <f>COUNTIFS('Classification Matrix'!$D$2:$D$307,"C",'Classification Matrix'!$G$2:$G$307,E$4)+COUNTIFS('Classification Matrix'!$D$2:$D$307,"C",'Classification Matrix'!$H$2:$H$307,E$4)+COUNTIFS('Classification Matrix'!$D$2:$D$307,"C",'Classification Matrix'!$I$2:$I$307,E$4)</f>
        <v/>
      </c>
      <c r="F7" s="18">
        <f>COUNTIFS('Classification Matrix'!$D$2:$D$307,"C",'Classification Matrix'!$G$2:$G$307,F$4)+COUNTIFS('Classification Matrix'!$D$2:$D$307,"C",'Classification Matrix'!$H$2:$H$307,F$4)+COUNTIFS('Classification Matrix'!$D$2:$D$307,"C",'Classification Matrix'!$I$2:$I$307,F$4)</f>
        <v/>
      </c>
      <c r="G7" s="18">
        <f>COUNTIFS('Classification Matrix'!$D$2:$D$307,"C",'Classification Matrix'!$G$2:$G$307,G$4)+COUNTIFS('Classification Matrix'!$D$2:$D$307,"C",'Classification Matrix'!$H$2:$H$307,G$4)+COUNTIFS('Classification Matrix'!$D$2:$D$307,"C",'Classification Matrix'!$I$2:$I$307,G$4)</f>
        <v/>
      </c>
      <c r="H7" s="18">
        <f>COUNTIFS('Classification Matrix'!$D$2:$D$307,"C",'Classification Matrix'!$G$2:$G$307,H$4)+COUNTIFS('Classification Matrix'!$D$2:$D$307,"C",'Classification Matrix'!$H$2:$H$307,H$4)+COUNTIFS('Classification Matrix'!$D$2:$D$307,"C",'Classification Matrix'!$I$2:$I$307,H$4)</f>
        <v/>
      </c>
      <c r="I7" s="18">
        <f>COUNTIFS('Classification Matrix'!$D$2:$D$307,"C",'Classification Matrix'!$G$2:$G$307,I$4)+COUNTIFS('Classification Matrix'!$D$2:$D$307,"C",'Classification Matrix'!$H$2:$H$307,I$4)+COUNTIFS('Classification Matrix'!$D$2:$D$307,"C",'Classification Matrix'!$I$2:$I$307,I$4)</f>
        <v/>
      </c>
      <c r="J7" s="18">
        <f>COUNTIFS('Classification Matrix'!$D$2:$D$307,"C",'Classification Matrix'!$G$2:$G$307,J$4)+COUNTIFS('Classification Matrix'!$D$2:$D$307,"C",'Classification Matrix'!$H$2:$H$307,J$4)+COUNTIFS('Classification Matrix'!$D$2:$D$307,"C",'Classification Matrix'!$I$2:$I$307,J$4)</f>
        <v/>
      </c>
      <c r="K7" s="18">
        <f>COUNTIFS('Classification Matrix'!$D$2:$D$307,"C",'Classification Matrix'!$G$2:$G$307,K$4)+COUNTIFS('Classification Matrix'!$D$2:$D$307,"C",'Classification Matrix'!$H$2:$H$307,K$4)+COUNTIFS('Classification Matrix'!$D$2:$D$307,"C",'Classification Matrix'!$I$2:$I$307,K$4)</f>
        <v/>
      </c>
      <c r="L7" s="18">
        <f>COUNTIFS('Classification Matrix'!$D$2:$D$307,"C",'Classification Matrix'!$G$2:$G$307,L$4)+COUNTIFS('Classification Matrix'!$D$2:$D$307,"C",'Classification Matrix'!$H$2:$H$307,L$4)+COUNTIFS('Classification Matrix'!$D$2:$D$307,"C",'Classification Matrix'!$I$2:$I$307,L$4)</f>
        <v/>
      </c>
      <c r="M7" s="18">
        <f>COUNTIF(C7:L7,"&gt;0")</f>
        <v/>
      </c>
    </row>
    <row r="8">
      <c r="A8" s="15" t="inlineStr">
        <is>
          <t>D. Radical expressions</t>
        </is>
      </c>
      <c r="B8" s="14">
        <f>COUNTIF('Classification Matrix'!$D$2:$D$307,"D")</f>
        <v/>
      </c>
      <c r="C8" s="14">
        <f>COUNTIFS('Classification Matrix'!$D$2:$D$307,"D",'Classification Matrix'!$G$2:$G$307,C$4)+COUNTIFS('Classification Matrix'!$D$2:$D$307,"D",'Classification Matrix'!$H$2:$H$307,C$4)+COUNTIFS('Classification Matrix'!$D$2:$D$307,"D",'Classification Matrix'!$I$2:$I$307,C$4)</f>
        <v/>
      </c>
      <c r="D8" s="14">
        <f>COUNTIFS('Classification Matrix'!$D$2:$D$307,"D",'Classification Matrix'!$G$2:$G$307,D$4)+COUNTIFS('Classification Matrix'!$D$2:$D$307,"D",'Classification Matrix'!$H$2:$H$307,D$4)+COUNTIFS('Classification Matrix'!$D$2:$D$307,"D",'Classification Matrix'!$I$2:$I$307,D$4)</f>
        <v/>
      </c>
      <c r="E8" s="14">
        <f>COUNTIFS('Classification Matrix'!$D$2:$D$307,"D",'Classification Matrix'!$G$2:$G$307,E$4)+COUNTIFS('Classification Matrix'!$D$2:$D$307,"D",'Classification Matrix'!$H$2:$H$307,E$4)+COUNTIFS('Classification Matrix'!$D$2:$D$307,"D",'Classification Matrix'!$I$2:$I$307,E$4)</f>
        <v/>
      </c>
      <c r="F8" s="14">
        <f>COUNTIFS('Classification Matrix'!$D$2:$D$307,"D",'Classification Matrix'!$G$2:$G$307,F$4)+COUNTIFS('Classification Matrix'!$D$2:$D$307,"D",'Classification Matrix'!$H$2:$H$307,F$4)+COUNTIFS('Classification Matrix'!$D$2:$D$307,"D",'Classification Matrix'!$I$2:$I$307,F$4)</f>
        <v/>
      </c>
      <c r="G8" s="14">
        <f>COUNTIFS('Classification Matrix'!$D$2:$D$307,"D",'Classification Matrix'!$G$2:$G$307,G$4)+COUNTIFS('Classification Matrix'!$D$2:$D$307,"D",'Classification Matrix'!$H$2:$H$307,G$4)+COUNTIFS('Classification Matrix'!$D$2:$D$307,"D",'Classification Matrix'!$I$2:$I$307,G$4)</f>
        <v/>
      </c>
      <c r="H8" s="14">
        <f>COUNTIFS('Classification Matrix'!$D$2:$D$307,"D",'Classification Matrix'!$G$2:$G$307,H$4)+COUNTIFS('Classification Matrix'!$D$2:$D$307,"D",'Classification Matrix'!$H$2:$H$307,H$4)+COUNTIFS('Classification Matrix'!$D$2:$D$307,"D",'Classification Matrix'!$I$2:$I$307,H$4)</f>
        <v/>
      </c>
      <c r="I8" s="14">
        <f>COUNTIFS('Classification Matrix'!$D$2:$D$307,"D",'Classification Matrix'!$G$2:$G$307,I$4)+COUNTIFS('Classification Matrix'!$D$2:$D$307,"D",'Classification Matrix'!$H$2:$H$307,I$4)+COUNTIFS('Classification Matrix'!$D$2:$D$307,"D",'Classification Matrix'!$I$2:$I$307,I$4)</f>
        <v/>
      </c>
      <c r="J8" s="14">
        <f>COUNTIFS('Classification Matrix'!$D$2:$D$307,"D",'Classification Matrix'!$G$2:$G$307,J$4)+COUNTIFS('Classification Matrix'!$D$2:$D$307,"D",'Classification Matrix'!$H$2:$H$307,J$4)+COUNTIFS('Classification Matrix'!$D$2:$D$307,"D",'Classification Matrix'!$I$2:$I$307,J$4)</f>
        <v/>
      </c>
      <c r="K8" s="14">
        <f>COUNTIFS('Classification Matrix'!$D$2:$D$307,"D",'Classification Matrix'!$G$2:$G$307,K$4)+COUNTIFS('Classification Matrix'!$D$2:$D$307,"D",'Classification Matrix'!$H$2:$H$307,K$4)+COUNTIFS('Classification Matrix'!$D$2:$D$307,"D",'Classification Matrix'!$I$2:$I$307,K$4)</f>
        <v/>
      </c>
      <c r="L8" s="14">
        <f>COUNTIFS('Classification Matrix'!$D$2:$D$307,"D",'Classification Matrix'!$G$2:$G$307,L$4)+COUNTIFS('Classification Matrix'!$D$2:$D$307,"D",'Classification Matrix'!$H$2:$H$307,L$4)+COUNTIFS('Classification Matrix'!$D$2:$D$307,"D",'Classification Matrix'!$I$2:$I$307,L$4)</f>
        <v/>
      </c>
      <c r="M8" s="14">
        <f>COUNTIF(C8:L8,"&gt;0")</f>
        <v/>
      </c>
    </row>
    <row r="9">
      <c r="A9" s="15" t="inlineStr">
        <is>
          <t>E. Rational exponents</t>
        </is>
      </c>
      <c r="B9" s="18">
        <f>COUNTIF('Classification Matrix'!$D$2:$D$307,"E")</f>
        <v/>
      </c>
      <c r="C9" s="18">
        <f>COUNTIFS('Classification Matrix'!$D$2:$D$307,"E",'Classification Matrix'!$G$2:$G$307,C$4)+COUNTIFS('Classification Matrix'!$D$2:$D$307,"E",'Classification Matrix'!$H$2:$H$307,C$4)+COUNTIFS('Classification Matrix'!$D$2:$D$307,"E",'Classification Matrix'!$I$2:$I$307,C$4)</f>
        <v/>
      </c>
      <c r="D9" s="18">
        <f>COUNTIFS('Classification Matrix'!$D$2:$D$307,"E",'Classification Matrix'!$G$2:$G$307,D$4)+COUNTIFS('Classification Matrix'!$D$2:$D$307,"E",'Classification Matrix'!$H$2:$H$307,D$4)+COUNTIFS('Classification Matrix'!$D$2:$D$307,"E",'Classification Matrix'!$I$2:$I$307,D$4)</f>
        <v/>
      </c>
      <c r="E9" s="18">
        <f>COUNTIFS('Classification Matrix'!$D$2:$D$307,"E",'Classification Matrix'!$G$2:$G$307,E$4)+COUNTIFS('Classification Matrix'!$D$2:$D$307,"E",'Classification Matrix'!$H$2:$H$307,E$4)+COUNTIFS('Classification Matrix'!$D$2:$D$307,"E",'Classification Matrix'!$I$2:$I$307,E$4)</f>
        <v/>
      </c>
      <c r="F9" s="18">
        <f>COUNTIFS('Classification Matrix'!$D$2:$D$307,"E",'Classification Matrix'!$G$2:$G$307,F$4)+COUNTIFS('Classification Matrix'!$D$2:$D$307,"E",'Classification Matrix'!$H$2:$H$307,F$4)+COUNTIFS('Classification Matrix'!$D$2:$D$307,"E",'Classification Matrix'!$I$2:$I$307,F$4)</f>
        <v/>
      </c>
      <c r="G9" s="18">
        <f>COUNTIFS('Classification Matrix'!$D$2:$D$307,"E",'Classification Matrix'!$G$2:$G$307,G$4)+COUNTIFS('Classification Matrix'!$D$2:$D$307,"E",'Classification Matrix'!$H$2:$H$307,G$4)+COUNTIFS('Classification Matrix'!$D$2:$D$307,"E",'Classification Matrix'!$I$2:$I$307,G$4)</f>
        <v/>
      </c>
      <c r="H9" s="18">
        <f>COUNTIFS('Classification Matrix'!$D$2:$D$307,"E",'Classification Matrix'!$G$2:$G$307,H$4)+COUNTIFS('Classification Matrix'!$D$2:$D$307,"E",'Classification Matrix'!$H$2:$H$307,H$4)+COUNTIFS('Classification Matrix'!$D$2:$D$307,"E",'Classification Matrix'!$I$2:$I$307,H$4)</f>
        <v/>
      </c>
      <c r="I9" s="18">
        <f>COUNTIFS('Classification Matrix'!$D$2:$D$307,"E",'Classification Matrix'!$G$2:$G$307,I$4)+COUNTIFS('Classification Matrix'!$D$2:$D$307,"E",'Classification Matrix'!$H$2:$H$307,I$4)+COUNTIFS('Classification Matrix'!$D$2:$D$307,"E",'Classification Matrix'!$I$2:$I$307,I$4)</f>
        <v/>
      </c>
      <c r="J9" s="18">
        <f>COUNTIFS('Classification Matrix'!$D$2:$D$307,"E",'Classification Matrix'!$G$2:$G$307,J$4)+COUNTIFS('Classification Matrix'!$D$2:$D$307,"E",'Classification Matrix'!$H$2:$H$307,J$4)+COUNTIFS('Classification Matrix'!$D$2:$D$307,"E",'Classification Matrix'!$I$2:$I$307,J$4)</f>
        <v/>
      </c>
      <c r="K9" s="18">
        <f>COUNTIFS('Classification Matrix'!$D$2:$D$307,"E",'Classification Matrix'!$G$2:$G$307,K$4)+COUNTIFS('Classification Matrix'!$D$2:$D$307,"E",'Classification Matrix'!$H$2:$H$307,K$4)+COUNTIFS('Classification Matrix'!$D$2:$D$307,"E",'Classification Matrix'!$I$2:$I$307,K$4)</f>
        <v/>
      </c>
      <c r="L9" s="18">
        <f>COUNTIFS('Classification Matrix'!$D$2:$D$307,"E",'Classification Matrix'!$G$2:$G$307,L$4)+COUNTIFS('Classification Matrix'!$D$2:$D$307,"E",'Classification Matrix'!$H$2:$H$307,L$4)+COUNTIFS('Classification Matrix'!$D$2:$D$307,"E",'Classification Matrix'!$I$2:$I$307,L$4)</f>
        <v/>
      </c>
      <c r="M9" s="18">
        <f>COUNTIF(C9:L9,"&gt;0")</f>
        <v/>
      </c>
    </row>
    <row r="10">
      <c r="A10" s="15" t="inlineStr">
        <is>
          <t>F. Coordinate plane</t>
        </is>
      </c>
      <c r="B10" s="14">
        <f>COUNTIF('Classification Matrix'!$D$2:$D$307,"F")</f>
        <v/>
      </c>
      <c r="C10" s="14">
        <f>COUNTIFS('Classification Matrix'!$D$2:$D$307,"F",'Classification Matrix'!$G$2:$G$307,C$4)+COUNTIFS('Classification Matrix'!$D$2:$D$307,"F",'Classification Matrix'!$H$2:$H$307,C$4)+COUNTIFS('Classification Matrix'!$D$2:$D$307,"F",'Classification Matrix'!$I$2:$I$307,C$4)</f>
        <v/>
      </c>
      <c r="D10" s="14">
        <f>COUNTIFS('Classification Matrix'!$D$2:$D$307,"F",'Classification Matrix'!$G$2:$G$307,D$4)+COUNTIFS('Classification Matrix'!$D$2:$D$307,"F",'Classification Matrix'!$H$2:$H$307,D$4)+COUNTIFS('Classification Matrix'!$D$2:$D$307,"F",'Classification Matrix'!$I$2:$I$307,D$4)</f>
        <v/>
      </c>
      <c r="E10" s="14">
        <f>COUNTIFS('Classification Matrix'!$D$2:$D$307,"F",'Classification Matrix'!$G$2:$G$307,E$4)+COUNTIFS('Classification Matrix'!$D$2:$D$307,"F",'Classification Matrix'!$H$2:$H$307,E$4)+COUNTIFS('Classification Matrix'!$D$2:$D$307,"F",'Classification Matrix'!$I$2:$I$307,E$4)</f>
        <v/>
      </c>
      <c r="F10" s="14">
        <f>COUNTIFS('Classification Matrix'!$D$2:$D$307,"F",'Classification Matrix'!$G$2:$G$307,F$4)+COUNTIFS('Classification Matrix'!$D$2:$D$307,"F",'Classification Matrix'!$H$2:$H$307,F$4)+COUNTIFS('Classification Matrix'!$D$2:$D$307,"F",'Classification Matrix'!$I$2:$I$307,F$4)</f>
        <v/>
      </c>
      <c r="G10" s="14">
        <f>COUNTIFS('Classification Matrix'!$D$2:$D$307,"F",'Classification Matrix'!$G$2:$G$307,G$4)+COUNTIFS('Classification Matrix'!$D$2:$D$307,"F",'Classification Matrix'!$H$2:$H$307,G$4)+COUNTIFS('Classification Matrix'!$D$2:$D$307,"F",'Classification Matrix'!$I$2:$I$307,G$4)</f>
        <v/>
      </c>
      <c r="H10" s="14">
        <f>COUNTIFS('Classification Matrix'!$D$2:$D$307,"F",'Classification Matrix'!$G$2:$G$307,H$4)+COUNTIFS('Classification Matrix'!$D$2:$D$307,"F",'Classification Matrix'!$H$2:$H$307,H$4)+COUNTIFS('Classification Matrix'!$D$2:$D$307,"F",'Classification Matrix'!$I$2:$I$307,H$4)</f>
        <v/>
      </c>
      <c r="I10" s="14">
        <f>COUNTIFS('Classification Matrix'!$D$2:$D$307,"F",'Classification Matrix'!$G$2:$G$307,I$4)+COUNTIFS('Classification Matrix'!$D$2:$D$307,"F",'Classification Matrix'!$H$2:$H$307,I$4)+COUNTIFS('Classification Matrix'!$D$2:$D$307,"F",'Classification Matrix'!$I$2:$I$307,I$4)</f>
        <v/>
      </c>
      <c r="J10" s="14">
        <f>COUNTIFS('Classification Matrix'!$D$2:$D$307,"F",'Classification Matrix'!$G$2:$G$307,J$4)+COUNTIFS('Classification Matrix'!$D$2:$D$307,"F",'Classification Matrix'!$H$2:$H$307,J$4)+COUNTIFS('Classification Matrix'!$D$2:$D$307,"F",'Classification Matrix'!$I$2:$I$307,J$4)</f>
        <v/>
      </c>
      <c r="K10" s="14">
        <f>COUNTIFS('Classification Matrix'!$D$2:$D$307,"F",'Classification Matrix'!$G$2:$G$307,K$4)+COUNTIFS('Classification Matrix'!$D$2:$D$307,"F",'Classification Matrix'!$H$2:$H$307,K$4)+COUNTIFS('Classification Matrix'!$D$2:$D$307,"F",'Classification Matrix'!$I$2:$I$307,K$4)</f>
        <v/>
      </c>
      <c r="L10" s="14">
        <f>COUNTIFS('Classification Matrix'!$D$2:$D$307,"F",'Classification Matrix'!$G$2:$G$307,L$4)+COUNTIFS('Classification Matrix'!$D$2:$D$307,"F",'Classification Matrix'!$H$2:$H$307,L$4)+COUNTIFS('Classification Matrix'!$D$2:$D$307,"F",'Classification Matrix'!$I$2:$I$307,L$4)</f>
        <v/>
      </c>
      <c r="M10" s="14">
        <f>COUNTIF(C10:L10,"&gt;0")</f>
        <v/>
      </c>
    </row>
    <row r="11">
      <c r="A11" s="15" t="inlineStr">
        <is>
          <t>G. Solve equations</t>
        </is>
      </c>
      <c r="B11" s="18">
        <f>COUNTIF('Classification Matrix'!$D$2:$D$307,"G")</f>
        <v/>
      </c>
      <c r="C11" s="18">
        <f>COUNTIFS('Classification Matrix'!$D$2:$D$307,"G",'Classification Matrix'!$G$2:$G$307,C$4)+COUNTIFS('Classification Matrix'!$D$2:$D$307,"G",'Classification Matrix'!$H$2:$H$307,C$4)+COUNTIFS('Classification Matrix'!$D$2:$D$307,"G",'Classification Matrix'!$I$2:$I$307,C$4)</f>
        <v/>
      </c>
      <c r="D11" s="18">
        <f>COUNTIFS('Classification Matrix'!$D$2:$D$307,"G",'Classification Matrix'!$G$2:$G$307,D$4)+COUNTIFS('Classification Matrix'!$D$2:$D$307,"G",'Classification Matrix'!$H$2:$H$307,D$4)+COUNTIFS('Classification Matrix'!$D$2:$D$307,"G",'Classification Matrix'!$I$2:$I$307,D$4)</f>
        <v/>
      </c>
      <c r="E11" s="18">
        <f>COUNTIFS('Classification Matrix'!$D$2:$D$307,"G",'Classification Matrix'!$G$2:$G$307,E$4)+COUNTIFS('Classification Matrix'!$D$2:$D$307,"G",'Classification Matrix'!$H$2:$H$307,E$4)+COUNTIFS('Classification Matrix'!$D$2:$D$307,"G",'Classification Matrix'!$I$2:$I$307,E$4)</f>
        <v/>
      </c>
      <c r="F11" s="18">
        <f>COUNTIFS('Classification Matrix'!$D$2:$D$307,"G",'Classification Matrix'!$G$2:$G$307,F$4)+COUNTIFS('Classification Matrix'!$D$2:$D$307,"G",'Classification Matrix'!$H$2:$H$307,F$4)+COUNTIFS('Classification Matrix'!$D$2:$D$307,"G",'Classification Matrix'!$I$2:$I$307,F$4)</f>
        <v/>
      </c>
      <c r="G11" s="18">
        <f>COUNTIFS('Classification Matrix'!$D$2:$D$307,"G",'Classification Matrix'!$G$2:$G$307,G$4)+COUNTIFS('Classification Matrix'!$D$2:$D$307,"G",'Classification Matrix'!$H$2:$H$307,G$4)+COUNTIFS('Classification Matrix'!$D$2:$D$307,"G",'Classification Matrix'!$I$2:$I$307,G$4)</f>
        <v/>
      </c>
      <c r="H11" s="18">
        <f>COUNTIFS('Classification Matrix'!$D$2:$D$307,"G",'Classification Matrix'!$G$2:$G$307,H$4)+COUNTIFS('Classification Matrix'!$D$2:$D$307,"G",'Classification Matrix'!$H$2:$H$307,H$4)+COUNTIFS('Classification Matrix'!$D$2:$D$307,"G",'Classification Matrix'!$I$2:$I$307,H$4)</f>
        <v/>
      </c>
      <c r="I11" s="18">
        <f>COUNTIFS('Classification Matrix'!$D$2:$D$307,"G",'Classification Matrix'!$G$2:$G$307,I$4)+COUNTIFS('Classification Matrix'!$D$2:$D$307,"G",'Classification Matrix'!$H$2:$H$307,I$4)+COUNTIFS('Classification Matrix'!$D$2:$D$307,"G",'Classification Matrix'!$I$2:$I$307,I$4)</f>
        <v/>
      </c>
      <c r="J11" s="18">
        <f>COUNTIFS('Classification Matrix'!$D$2:$D$307,"G",'Classification Matrix'!$G$2:$G$307,J$4)+COUNTIFS('Classification Matrix'!$D$2:$D$307,"G",'Classification Matrix'!$H$2:$H$307,J$4)+COUNTIFS('Classification Matrix'!$D$2:$D$307,"G",'Classification Matrix'!$I$2:$I$307,J$4)</f>
        <v/>
      </c>
      <c r="K11" s="18">
        <f>COUNTIFS('Classification Matrix'!$D$2:$D$307,"G",'Classification Matrix'!$G$2:$G$307,K$4)+COUNTIFS('Classification Matrix'!$D$2:$D$307,"G",'Classification Matrix'!$H$2:$H$307,K$4)+COUNTIFS('Classification Matrix'!$D$2:$D$307,"G",'Classification Matrix'!$I$2:$I$307,K$4)</f>
        <v/>
      </c>
      <c r="L11" s="18">
        <f>COUNTIFS('Classification Matrix'!$D$2:$D$307,"G",'Classification Matrix'!$G$2:$G$307,L$4)+COUNTIFS('Classification Matrix'!$D$2:$D$307,"G",'Classification Matrix'!$H$2:$H$307,L$4)+COUNTIFS('Classification Matrix'!$D$2:$D$307,"G",'Classification Matrix'!$I$2:$I$307,L$4)</f>
        <v/>
      </c>
      <c r="M11" s="18">
        <f>COUNTIF(C11:L11,"&gt;0")</f>
        <v/>
      </c>
    </row>
    <row r="12">
      <c r="A12" s="15" t="inlineStr">
        <is>
          <t>H. Single-variable inequalities</t>
        </is>
      </c>
      <c r="B12" s="14">
        <f>COUNTIF('Classification Matrix'!$D$2:$D$307,"H")</f>
        <v/>
      </c>
      <c r="C12" s="14">
        <f>COUNTIFS('Classification Matrix'!$D$2:$D$307,"H",'Classification Matrix'!$G$2:$G$307,C$4)+COUNTIFS('Classification Matrix'!$D$2:$D$307,"H",'Classification Matrix'!$H$2:$H$307,C$4)+COUNTIFS('Classification Matrix'!$D$2:$D$307,"H",'Classification Matrix'!$I$2:$I$307,C$4)</f>
        <v/>
      </c>
      <c r="D12" s="14">
        <f>COUNTIFS('Classification Matrix'!$D$2:$D$307,"H",'Classification Matrix'!$G$2:$G$307,D$4)+COUNTIFS('Classification Matrix'!$D$2:$D$307,"H",'Classification Matrix'!$H$2:$H$307,D$4)+COUNTIFS('Classification Matrix'!$D$2:$D$307,"H",'Classification Matrix'!$I$2:$I$307,D$4)</f>
        <v/>
      </c>
      <c r="E12" s="14">
        <f>COUNTIFS('Classification Matrix'!$D$2:$D$307,"H",'Classification Matrix'!$G$2:$G$307,E$4)+COUNTIFS('Classification Matrix'!$D$2:$D$307,"H",'Classification Matrix'!$H$2:$H$307,E$4)+COUNTIFS('Classification Matrix'!$D$2:$D$307,"H",'Classification Matrix'!$I$2:$I$307,E$4)</f>
        <v/>
      </c>
      <c r="F12" s="14">
        <f>COUNTIFS('Classification Matrix'!$D$2:$D$307,"H",'Classification Matrix'!$G$2:$G$307,F$4)+COUNTIFS('Classification Matrix'!$D$2:$D$307,"H",'Classification Matrix'!$H$2:$H$307,F$4)+COUNTIFS('Classification Matrix'!$D$2:$D$307,"H",'Classification Matrix'!$I$2:$I$307,F$4)</f>
        <v/>
      </c>
      <c r="G12" s="14">
        <f>COUNTIFS('Classification Matrix'!$D$2:$D$307,"H",'Classification Matrix'!$G$2:$G$307,G$4)+COUNTIFS('Classification Matrix'!$D$2:$D$307,"H",'Classification Matrix'!$H$2:$H$307,G$4)+COUNTIFS('Classification Matrix'!$D$2:$D$307,"H",'Classification Matrix'!$I$2:$I$307,G$4)</f>
        <v/>
      </c>
      <c r="H12" s="14">
        <f>COUNTIFS('Classification Matrix'!$D$2:$D$307,"H",'Classification Matrix'!$G$2:$G$307,H$4)+COUNTIFS('Classification Matrix'!$D$2:$D$307,"H",'Classification Matrix'!$H$2:$H$307,H$4)+COUNTIFS('Classification Matrix'!$D$2:$D$307,"H",'Classification Matrix'!$I$2:$I$307,H$4)</f>
        <v/>
      </c>
      <c r="I12" s="14">
        <f>COUNTIFS('Classification Matrix'!$D$2:$D$307,"H",'Classification Matrix'!$G$2:$G$307,I$4)+COUNTIFS('Classification Matrix'!$D$2:$D$307,"H",'Classification Matrix'!$H$2:$H$307,I$4)+COUNTIFS('Classification Matrix'!$D$2:$D$307,"H",'Classification Matrix'!$I$2:$I$307,I$4)</f>
        <v/>
      </c>
      <c r="J12" s="14">
        <f>COUNTIFS('Classification Matrix'!$D$2:$D$307,"H",'Classification Matrix'!$G$2:$G$307,J$4)+COUNTIFS('Classification Matrix'!$D$2:$D$307,"H",'Classification Matrix'!$H$2:$H$307,J$4)+COUNTIFS('Classification Matrix'!$D$2:$D$307,"H",'Classification Matrix'!$I$2:$I$307,J$4)</f>
        <v/>
      </c>
      <c r="K12" s="14">
        <f>COUNTIFS('Classification Matrix'!$D$2:$D$307,"H",'Classification Matrix'!$G$2:$G$307,K$4)+COUNTIFS('Classification Matrix'!$D$2:$D$307,"H",'Classification Matrix'!$H$2:$H$307,K$4)+COUNTIFS('Classification Matrix'!$D$2:$D$307,"H",'Classification Matrix'!$I$2:$I$307,K$4)</f>
        <v/>
      </c>
      <c r="L12" s="14">
        <f>COUNTIFS('Classification Matrix'!$D$2:$D$307,"H",'Classification Matrix'!$G$2:$G$307,L$4)+COUNTIFS('Classification Matrix'!$D$2:$D$307,"H",'Classification Matrix'!$H$2:$H$307,L$4)+COUNTIFS('Classification Matrix'!$D$2:$D$307,"H",'Classification Matrix'!$I$2:$I$307,L$4)</f>
        <v/>
      </c>
      <c r="M12" s="14">
        <f>COUNTIF(C12:L12,"&gt;0")</f>
        <v/>
      </c>
    </row>
    <row r="13">
      <c r="A13" s="15" t="inlineStr">
        <is>
          <t>I. Data and graphs</t>
        </is>
      </c>
      <c r="B13" s="18">
        <f>COUNTIF('Classification Matrix'!$D$2:$D$307,"I")</f>
        <v/>
      </c>
      <c r="C13" s="18">
        <f>COUNTIFS('Classification Matrix'!$D$2:$D$307,"I",'Classification Matrix'!$G$2:$G$307,C$4)+COUNTIFS('Classification Matrix'!$D$2:$D$307,"I",'Classification Matrix'!$H$2:$H$307,C$4)+COUNTIFS('Classification Matrix'!$D$2:$D$307,"I",'Classification Matrix'!$I$2:$I$307,C$4)</f>
        <v/>
      </c>
      <c r="D13" s="18">
        <f>COUNTIFS('Classification Matrix'!$D$2:$D$307,"I",'Classification Matrix'!$G$2:$G$307,D$4)+COUNTIFS('Classification Matrix'!$D$2:$D$307,"I",'Classification Matrix'!$H$2:$H$307,D$4)+COUNTIFS('Classification Matrix'!$D$2:$D$307,"I",'Classification Matrix'!$I$2:$I$307,D$4)</f>
        <v/>
      </c>
      <c r="E13" s="18">
        <f>COUNTIFS('Classification Matrix'!$D$2:$D$307,"I",'Classification Matrix'!$G$2:$G$307,E$4)+COUNTIFS('Classification Matrix'!$D$2:$D$307,"I",'Classification Matrix'!$H$2:$H$307,E$4)+COUNTIFS('Classification Matrix'!$D$2:$D$307,"I",'Classification Matrix'!$I$2:$I$307,E$4)</f>
        <v/>
      </c>
      <c r="F13" s="18">
        <f>COUNTIFS('Classification Matrix'!$D$2:$D$307,"I",'Classification Matrix'!$G$2:$G$307,F$4)+COUNTIFS('Classification Matrix'!$D$2:$D$307,"I",'Classification Matrix'!$H$2:$H$307,F$4)+COUNTIFS('Classification Matrix'!$D$2:$D$307,"I",'Classification Matrix'!$I$2:$I$307,F$4)</f>
        <v/>
      </c>
      <c r="G13" s="18">
        <f>COUNTIFS('Classification Matrix'!$D$2:$D$307,"I",'Classification Matrix'!$G$2:$G$307,G$4)+COUNTIFS('Classification Matrix'!$D$2:$D$307,"I",'Classification Matrix'!$H$2:$H$307,G$4)+COUNTIFS('Classification Matrix'!$D$2:$D$307,"I",'Classification Matrix'!$I$2:$I$307,G$4)</f>
        <v/>
      </c>
      <c r="H13" s="18">
        <f>COUNTIFS('Classification Matrix'!$D$2:$D$307,"I",'Classification Matrix'!$G$2:$G$307,H$4)+COUNTIFS('Classification Matrix'!$D$2:$D$307,"I",'Classification Matrix'!$H$2:$H$307,H$4)+COUNTIFS('Classification Matrix'!$D$2:$D$307,"I",'Classification Matrix'!$I$2:$I$307,H$4)</f>
        <v/>
      </c>
      <c r="I13" s="18">
        <f>COUNTIFS('Classification Matrix'!$D$2:$D$307,"I",'Classification Matrix'!$G$2:$G$307,I$4)+COUNTIFS('Classification Matrix'!$D$2:$D$307,"I",'Classification Matrix'!$H$2:$H$307,I$4)+COUNTIFS('Classification Matrix'!$D$2:$D$307,"I",'Classification Matrix'!$I$2:$I$307,I$4)</f>
        <v/>
      </c>
      <c r="J13" s="18">
        <f>COUNTIFS('Classification Matrix'!$D$2:$D$307,"I",'Classification Matrix'!$G$2:$G$307,J$4)+COUNTIFS('Classification Matrix'!$D$2:$D$307,"I",'Classification Matrix'!$H$2:$H$307,J$4)+COUNTIFS('Classification Matrix'!$D$2:$D$307,"I",'Classification Matrix'!$I$2:$I$307,J$4)</f>
        <v/>
      </c>
      <c r="K13" s="18">
        <f>COUNTIFS('Classification Matrix'!$D$2:$D$307,"I",'Classification Matrix'!$G$2:$G$307,K$4)+COUNTIFS('Classification Matrix'!$D$2:$D$307,"I",'Classification Matrix'!$H$2:$H$307,K$4)+COUNTIFS('Classification Matrix'!$D$2:$D$307,"I",'Classification Matrix'!$I$2:$I$307,K$4)</f>
        <v/>
      </c>
      <c r="L13" s="18">
        <f>COUNTIFS('Classification Matrix'!$D$2:$D$307,"I",'Classification Matrix'!$G$2:$G$307,L$4)+COUNTIFS('Classification Matrix'!$D$2:$D$307,"I",'Classification Matrix'!$H$2:$H$307,L$4)+COUNTIFS('Classification Matrix'!$D$2:$D$307,"I",'Classification Matrix'!$I$2:$I$307,L$4)</f>
        <v/>
      </c>
      <c r="M13" s="18">
        <f>COUNTIF(C13:L13,"&gt;0")</f>
        <v/>
      </c>
    </row>
    <row r="14">
      <c r="A14" s="15" t="inlineStr">
        <is>
          <t>J. Relations and functions</t>
        </is>
      </c>
      <c r="B14" s="14">
        <f>COUNTIF('Classification Matrix'!$D$2:$D$307,"J")</f>
        <v/>
      </c>
      <c r="C14" s="14">
        <f>COUNTIFS('Classification Matrix'!$D$2:$D$307,"J",'Classification Matrix'!$G$2:$G$307,C$4)+COUNTIFS('Classification Matrix'!$D$2:$D$307,"J",'Classification Matrix'!$H$2:$H$307,C$4)+COUNTIFS('Classification Matrix'!$D$2:$D$307,"J",'Classification Matrix'!$I$2:$I$307,C$4)</f>
        <v/>
      </c>
      <c r="D14" s="14">
        <f>COUNTIFS('Classification Matrix'!$D$2:$D$307,"J",'Classification Matrix'!$G$2:$G$307,D$4)+COUNTIFS('Classification Matrix'!$D$2:$D$307,"J",'Classification Matrix'!$H$2:$H$307,D$4)+COUNTIFS('Classification Matrix'!$D$2:$D$307,"J",'Classification Matrix'!$I$2:$I$307,D$4)</f>
        <v/>
      </c>
      <c r="E14" s="14">
        <f>COUNTIFS('Classification Matrix'!$D$2:$D$307,"J",'Classification Matrix'!$G$2:$G$307,E$4)+COUNTIFS('Classification Matrix'!$D$2:$D$307,"J",'Classification Matrix'!$H$2:$H$307,E$4)+COUNTIFS('Classification Matrix'!$D$2:$D$307,"J",'Classification Matrix'!$I$2:$I$307,E$4)</f>
        <v/>
      </c>
      <c r="F14" s="14">
        <f>COUNTIFS('Classification Matrix'!$D$2:$D$307,"J",'Classification Matrix'!$G$2:$G$307,F$4)+COUNTIFS('Classification Matrix'!$D$2:$D$307,"J",'Classification Matrix'!$H$2:$H$307,F$4)+COUNTIFS('Classification Matrix'!$D$2:$D$307,"J",'Classification Matrix'!$I$2:$I$307,F$4)</f>
        <v/>
      </c>
      <c r="G14" s="14">
        <f>COUNTIFS('Classification Matrix'!$D$2:$D$307,"J",'Classification Matrix'!$G$2:$G$307,G$4)+COUNTIFS('Classification Matrix'!$D$2:$D$307,"J",'Classification Matrix'!$H$2:$H$307,G$4)+COUNTIFS('Classification Matrix'!$D$2:$D$307,"J",'Classification Matrix'!$I$2:$I$307,G$4)</f>
        <v/>
      </c>
      <c r="H14" s="14">
        <f>COUNTIFS('Classification Matrix'!$D$2:$D$307,"J",'Classification Matrix'!$G$2:$G$307,H$4)+COUNTIFS('Classification Matrix'!$D$2:$D$307,"J",'Classification Matrix'!$H$2:$H$307,H$4)+COUNTIFS('Classification Matrix'!$D$2:$D$307,"J",'Classification Matrix'!$I$2:$I$307,H$4)</f>
        <v/>
      </c>
      <c r="I14" s="14">
        <f>COUNTIFS('Classification Matrix'!$D$2:$D$307,"J",'Classification Matrix'!$G$2:$G$307,I$4)+COUNTIFS('Classification Matrix'!$D$2:$D$307,"J",'Classification Matrix'!$H$2:$H$307,I$4)+COUNTIFS('Classification Matrix'!$D$2:$D$307,"J",'Classification Matrix'!$I$2:$I$307,I$4)</f>
        <v/>
      </c>
      <c r="J14" s="14">
        <f>COUNTIFS('Classification Matrix'!$D$2:$D$307,"J",'Classification Matrix'!$G$2:$G$307,J$4)+COUNTIFS('Classification Matrix'!$D$2:$D$307,"J",'Classification Matrix'!$H$2:$H$307,J$4)+COUNTIFS('Classification Matrix'!$D$2:$D$307,"J",'Classification Matrix'!$I$2:$I$307,J$4)</f>
        <v/>
      </c>
      <c r="K14" s="14">
        <f>COUNTIFS('Classification Matrix'!$D$2:$D$307,"J",'Classification Matrix'!$G$2:$G$307,K$4)+COUNTIFS('Classification Matrix'!$D$2:$D$307,"J",'Classification Matrix'!$H$2:$H$307,K$4)+COUNTIFS('Classification Matrix'!$D$2:$D$307,"J",'Classification Matrix'!$I$2:$I$307,K$4)</f>
        <v/>
      </c>
      <c r="L14" s="14">
        <f>COUNTIFS('Classification Matrix'!$D$2:$D$307,"J",'Classification Matrix'!$G$2:$G$307,L$4)+COUNTIFS('Classification Matrix'!$D$2:$D$307,"J",'Classification Matrix'!$H$2:$H$307,L$4)+COUNTIFS('Classification Matrix'!$D$2:$D$307,"J",'Classification Matrix'!$I$2:$I$307,L$4)</f>
        <v/>
      </c>
      <c r="M14" s="14">
        <f>COUNTIF(C14:L14,"&gt;0")</f>
        <v/>
      </c>
    </row>
    <row r="15">
      <c r="A15" s="15" t="inlineStr">
        <is>
          <t>K. Direct and inverse variation</t>
        </is>
      </c>
      <c r="B15" s="18">
        <f>COUNTIF('Classification Matrix'!$D$2:$D$307,"K")</f>
        <v/>
      </c>
      <c r="C15" s="18">
        <f>COUNTIFS('Classification Matrix'!$D$2:$D$307,"K",'Classification Matrix'!$G$2:$G$307,C$4)+COUNTIFS('Classification Matrix'!$D$2:$D$307,"K",'Classification Matrix'!$H$2:$H$307,C$4)+COUNTIFS('Classification Matrix'!$D$2:$D$307,"K",'Classification Matrix'!$I$2:$I$307,C$4)</f>
        <v/>
      </c>
      <c r="D15" s="18">
        <f>COUNTIFS('Classification Matrix'!$D$2:$D$307,"K",'Classification Matrix'!$G$2:$G$307,D$4)+COUNTIFS('Classification Matrix'!$D$2:$D$307,"K",'Classification Matrix'!$H$2:$H$307,D$4)+COUNTIFS('Classification Matrix'!$D$2:$D$307,"K",'Classification Matrix'!$I$2:$I$307,D$4)</f>
        <v/>
      </c>
      <c r="E15" s="18">
        <f>COUNTIFS('Classification Matrix'!$D$2:$D$307,"K",'Classification Matrix'!$G$2:$G$307,E$4)+COUNTIFS('Classification Matrix'!$D$2:$D$307,"K",'Classification Matrix'!$H$2:$H$307,E$4)+COUNTIFS('Classification Matrix'!$D$2:$D$307,"K",'Classification Matrix'!$I$2:$I$307,E$4)</f>
        <v/>
      </c>
      <c r="F15" s="18">
        <f>COUNTIFS('Classification Matrix'!$D$2:$D$307,"K",'Classification Matrix'!$G$2:$G$307,F$4)+COUNTIFS('Classification Matrix'!$D$2:$D$307,"K",'Classification Matrix'!$H$2:$H$307,F$4)+COUNTIFS('Classification Matrix'!$D$2:$D$307,"K",'Classification Matrix'!$I$2:$I$307,F$4)</f>
        <v/>
      </c>
      <c r="G15" s="18">
        <f>COUNTIFS('Classification Matrix'!$D$2:$D$307,"K",'Classification Matrix'!$G$2:$G$307,G$4)+COUNTIFS('Classification Matrix'!$D$2:$D$307,"K",'Classification Matrix'!$H$2:$H$307,G$4)+COUNTIFS('Classification Matrix'!$D$2:$D$307,"K",'Classification Matrix'!$I$2:$I$307,G$4)</f>
        <v/>
      </c>
      <c r="H15" s="18">
        <f>COUNTIFS('Classification Matrix'!$D$2:$D$307,"K",'Classification Matrix'!$G$2:$G$307,H$4)+COUNTIFS('Classification Matrix'!$D$2:$D$307,"K",'Classification Matrix'!$H$2:$H$307,H$4)+COUNTIFS('Classification Matrix'!$D$2:$D$307,"K",'Classification Matrix'!$I$2:$I$307,H$4)</f>
        <v/>
      </c>
      <c r="I15" s="18">
        <f>COUNTIFS('Classification Matrix'!$D$2:$D$307,"K",'Classification Matrix'!$G$2:$G$307,I$4)+COUNTIFS('Classification Matrix'!$D$2:$D$307,"K",'Classification Matrix'!$H$2:$H$307,I$4)+COUNTIFS('Classification Matrix'!$D$2:$D$307,"K",'Classification Matrix'!$I$2:$I$307,I$4)</f>
        <v/>
      </c>
      <c r="J15" s="18">
        <f>COUNTIFS('Classification Matrix'!$D$2:$D$307,"K",'Classification Matrix'!$G$2:$G$307,J$4)+COUNTIFS('Classification Matrix'!$D$2:$D$307,"K",'Classification Matrix'!$H$2:$H$307,J$4)+COUNTIFS('Classification Matrix'!$D$2:$D$307,"K",'Classification Matrix'!$I$2:$I$307,J$4)</f>
        <v/>
      </c>
      <c r="K15" s="18">
        <f>COUNTIFS('Classification Matrix'!$D$2:$D$307,"K",'Classification Matrix'!$G$2:$G$307,K$4)+COUNTIFS('Classification Matrix'!$D$2:$D$307,"K",'Classification Matrix'!$H$2:$H$307,K$4)+COUNTIFS('Classification Matrix'!$D$2:$D$307,"K",'Classification Matrix'!$I$2:$I$307,K$4)</f>
        <v/>
      </c>
      <c r="L15" s="18">
        <f>COUNTIFS('Classification Matrix'!$D$2:$D$307,"K",'Classification Matrix'!$G$2:$G$307,L$4)+COUNTIFS('Classification Matrix'!$D$2:$D$307,"K",'Classification Matrix'!$H$2:$H$307,L$4)+COUNTIFS('Classification Matrix'!$D$2:$D$307,"K",'Classification Matrix'!$I$2:$I$307,L$4)</f>
        <v/>
      </c>
      <c r="M15" s="18">
        <f>COUNTIF(C15:L15,"&gt;0")</f>
        <v/>
      </c>
    </row>
    <row r="16">
      <c r="A16" s="15" t="inlineStr">
        <is>
          <t>L. Linear functions</t>
        </is>
      </c>
      <c r="B16" s="14">
        <f>COUNTIF('Classification Matrix'!$D$2:$D$307,"L")</f>
        <v/>
      </c>
      <c r="C16" s="14">
        <f>COUNTIFS('Classification Matrix'!$D$2:$D$307,"L",'Classification Matrix'!$G$2:$G$307,C$4)+COUNTIFS('Classification Matrix'!$D$2:$D$307,"L",'Classification Matrix'!$H$2:$H$307,C$4)+COUNTIFS('Classification Matrix'!$D$2:$D$307,"L",'Classification Matrix'!$I$2:$I$307,C$4)</f>
        <v/>
      </c>
      <c r="D16" s="14">
        <f>COUNTIFS('Classification Matrix'!$D$2:$D$307,"L",'Classification Matrix'!$G$2:$G$307,D$4)+COUNTIFS('Classification Matrix'!$D$2:$D$307,"L",'Classification Matrix'!$H$2:$H$307,D$4)+COUNTIFS('Classification Matrix'!$D$2:$D$307,"L",'Classification Matrix'!$I$2:$I$307,D$4)</f>
        <v/>
      </c>
      <c r="E16" s="14">
        <f>COUNTIFS('Classification Matrix'!$D$2:$D$307,"L",'Classification Matrix'!$G$2:$G$307,E$4)+COUNTIFS('Classification Matrix'!$D$2:$D$307,"L",'Classification Matrix'!$H$2:$H$307,E$4)+COUNTIFS('Classification Matrix'!$D$2:$D$307,"L",'Classification Matrix'!$I$2:$I$307,E$4)</f>
        <v/>
      </c>
      <c r="F16" s="14">
        <f>COUNTIFS('Classification Matrix'!$D$2:$D$307,"L",'Classification Matrix'!$G$2:$G$307,F$4)+COUNTIFS('Classification Matrix'!$D$2:$D$307,"L",'Classification Matrix'!$H$2:$H$307,F$4)+COUNTIFS('Classification Matrix'!$D$2:$D$307,"L",'Classification Matrix'!$I$2:$I$307,F$4)</f>
        <v/>
      </c>
      <c r="G16" s="14">
        <f>COUNTIFS('Classification Matrix'!$D$2:$D$307,"L",'Classification Matrix'!$G$2:$G$307,G$4)+COUNTIFS('Classification Matrix'!$D$2:$D$307,"L",'Classification Matrix'!$H$2:$H$307,G$4)+COUNTIFS('Classification Matrix'!$D$2:$D$307,"L",'Classification Matrix'!$I$2:$I$307,G$4)</f>
        <v/>
      </c>
      <c r="H16" s="14">
        <f>COUNTIFS('Classification Matrix'!$D$2:$D$307,"L",'Classification Matrix'!$G$2:$G$307,H$4)+COUNTIFS('Classification Matrix'!$D$2:$D$307,"L",'Classification Matrix'!$H$2:$H$307,H$4)+COUNTIFS('Classification Matrix'!$D$2:$D$307,"L",'Classification Matrix'!$I$2:$I$307,H$4)</f>
        <v/>
      </c>
      <c r="I16" s="14">
        <f>COUNTIFS('Classification Matrix'!$D$2:$D$307,"L",'Classification Matrix'!$G$2:$G$307,I$4)+COUNTIFS('Classification Matrix'!$D$2:$D$307,"L",'Classification Matrix'!$H$2:$H$307,I$4)+COUNTIFS('Classification Matrix'!$D$2:$D$307,"L",'Classification Matrix'!$I$2:$I$307,I$4)</f>
        <v/>
      </c>
      <c r="J16" s="14">
        <f>COUNTIFS('Classification Matrix'!$D$2:$D$307,"L",'Classification Matrix'!$G$2:$G$307,J$4)+COUNTIFS('Classification Matrix'!$D$2:$D$307,"L",'Classification Matrix'!$H$2:$H$307,J$4)+COUNTIFS('Classification Matrix'!$D$2:$D$307,"L",'Classification Matrix'!$I$2:$I$307,J$4)</f>
        <v/>
      </c>
      <c r="K16" s="14">
        <f>COUNTIFS('Classification Matrix'!$D$2:$D$307,"L",'Classification Matrix'!$G$2:$G$307,K$4)+COUNTIFS('Classification Matrix'!$D$2:$D$307,"L",'Classification Matrix'!$H$2:$H$307,K$4)+COUNTIFS('Classification Matrix'!$D$2:$D$307,"L",'Classification Matrix'!$I$2:$I$307,K$4)</f>
        <v/>
      </c>
      <c r="L16" s="14">
        <f>COUNTIFS('Classification Matrix'!$D$2:$D$307,"L",'Classification Matrix'!$G$2:$G$307,L$4)+COUNTIFS('Classification Matrix'!$D$2:$D$307,"L",'Classification Matrix'!$H$2:$H$307,L$4)+COUNTIFS('Classification Matrix'!$D$2:$D$307,"L",'Classification Matrix'!$I$2:$I$307,L$4)</f>
        <v/>
      </c>
      <c r="M16" s="14">
        <f>COUNTIF(C16:L16,"&gt;0")</f>
        <v/>
      </c>
    </row>
    <row r="17">
      <c r="A17" s="15" t="inlineStr">
        <is>
          <t>M. Systems of linear equations</t>
        </is>
      </c>
      <c r="B17" s="18">
        <f>COUNTIF('Classification Matrix'!$D$2:$D$307,"M")</f>
        <v/>
      </c>
      <c r="C17" s="18">
        <f>COUNTIFS('Classification Matrix'!$D$2:$D$307,"M",'Classification Matrix'!$G$2:$G$307,C$4)+COUNTIFS('Classification Matrix'!$D$2:$D$307,"M",'Classification Matrix'!$H$2:$H$307,C$4)+COUNTIFS('Classification Matrix'!$D$2:$D$307,"M",'Classification Matrix'!$I$2:$I$307,C$4)</f>
        <v/>
      </c>
      <c r="D17" s="18">
        <f>COUNTIFS('Classification Matrix'!$D$2:$D$307,"M",'Classification Matrix'!$G$2:$G$307,D$4)+COUNTIFS('Classification Matrix'!$D$2:$D$307,"M",'Classification Matrix'!$H$2:$H$307,D$4)+COUNTIFS('Classification Matrix'!$D$2:$D$307,"M",'Classification Matrix'!$I$2:$I$307,D$4)</f>
        <v/>
      </c>
      <c r="E17" s="18">
        <f>COUNTIFS('Classification Matrix'!$D$2:$D$307,"M",'Classification Matrix'!$G$2:$G$307,E$4)+COUNTIFS('Classification Matrix'!$D$2:$D$307,"M",'Classification Matrix'!$H$2:$H$307,E$4)+COUNTIFS('Classification Matrix'!$D$2:$D$307,"M",'Classification Matrix'!$I$2:$I$307,E$4)</f>
        <v/>
      </c>
      <c r="F17" s="18">
        <f>COUNTIFS('Classification Matrix'!$D$2:$D$307,"M",'Classification Matrix'!$G$2:$G$307,F$4)+COUNTIFS('Classification Matrix'!$D$2:$D$307,"M",'Classification Matrix'!$H$2:$H$307,F$4)+COUNTIFS('Classification Matrix'!$D$2:$D$307,"M",'Classification Matrix'!$I$2:$I$307,F$4)</f>
        <v/>
      </c>
      <c r="G17" s="18">
        <f>COUNTIFS('Classification Matrix'!$D$2:$D$307,"M",'Classification Matrix'!$G$2:$G$307,G$4)+COUNTIFS('Classification Matrix'!$D$2:$D$307,"M",'Classification Matrix'!$H$2:$H$307,G$4)+COUNTIFS('Classification Matrix'!$D$2:$D$307,"M",'Classification Matrix'!$I$2:$I$307,G$4)</f>
        <v/>
      </c>
      <c r="H17" s="18">
        <f>COUNTIFS('Classification Matrix'!$D$2:$D$307,"M",'Classification Matrix'!$G$2:$G$307,H$4)+COUNTIFS('Classification Matrix'!$D$2:$D$307,"M",'Classification Matrix'!$H$2:$H$307,H$4)+COUNTIFS('Classification Matrix'!$D$2:$D$307,"M",'Classification Matrix'!$I$2:$I$307,H$4)</f>
        <v/>
      </c>
      <c r="I17" s="18">
        <f>COUNTIFS('Classification Matrix'!$D$2:$D$307,"M",'Classification Matrix'!$G$2:$G$307,I$4)+COUNTIFS('Classification Matrix'!$D$2:$D$307,"M",'Classification Matrix'!$H$2:$H$307,I$4)+COUNTIFS('Classification Matrix'!$D$2:$D$307,"M",'Classification Matrix'!$I$2:$I$307,I$4)</f>
        <v/>
      </c>
      <c r="J17" s="18">
        <f>COUNTIFS('Classification Matrix'!$D$2:$D$307,"M",'Classification Matrix'!$G$2:$G$307,J$4)+COUNTIFS('Classification Matrix'!$D$2:$D$307,"M",'Classification Matrix'!$H$2:$H$307,J$4)+COUNTIFS('Classification Matrix'!$D$2:$D$307,"M",'Classification Matrix'!$I$2:$I$307,J$4)</f>
        <v/>
      </c>
      <c r="K17" s="18">
        <f>COUNTIFS('Classification Matrix'!$D$2:$D$307,"M",'Classification Matrix'!$G$2:$G$307,K$4)+COUNTIFS('Classification Matrix'!$D$2:$D$307,"M",'Classification Matrix'!$H$2:$H$307,K$4)+COUNTIFS('Classification Matrix'!$D$2:$D$307,"M",'Classification Matrix'!$I$2:$I$307,K$4)</f>
        <v/>
      </c>
      <c r="L17" s="18">
        <f>COUNTIFS('Classification Matrix'!$D$2:$D$307,"M",'Classification Matrix'!$G$2:$G$307,L$4)+COUNTIFS('Classification Matrix'!$D$2:$D$307,"M",'Classification Matrix'!$H$2:$H$307,L$4)+COUNTIFS('Classification Matrix'!$D$2:$D$307,"M",'Classification Matrix'!$I$2:$I$307,L$4)</f>
        <v/>
      </c>
      <c r="M17" s="18">
        <f>COUNTIF(C17:L17,"&gt;0")</f>
        <v/>
      </c>
    </row>
    <row r="18">
      <c r="A18" s="15" t="inlineStr">
        <is>
          <t>N. Monomials</t>
        </is>
      </c>
      <c r="B18" s="14">
        <f>COUNTIF('Classification Matrix'!$D$2:$D$307,"N")</f>
        <v/>
      </c>
      <c r="C18" s="14">
        <f>COUNTIFS('Classification Matrix'!$D$2:$D$307,"N",'Classification Matrix'!$G$2:$G$307,C$4)+COUNTIFS('Classification Matrix'!$D$2:$D$307,"N",'Classification Matrix'!$H$2:$H$307,C$4)+COUNTIFS('Classification Matrix'!$D$2:$D$307,"N",'Classification Matrix'!$I$2:$I$307,C$4)</f>
        <v/>
      </c>
      <c r="D18" s="14">
        <f>COUNTIFS('Classification Matrix'!$D$2:$D$307,"N",'Classification Matrix'!$G$2:$G$307,D$4)+COUNTIFS('Classification Matrix'!$D$2:$D$307,"N",'Classification Matrix'!$H$2:$H$307,D$4)+COUNTIFS('Classification Matrix'!$D$2:$D$307,"N",'Classification Matrix'!$I$2:$I$307,D$4)</f>
        <v/>
      </c>
      <c r="E18" s="14">
        <f>COUNTIFS('Classification Matrix'!$D$2:$D$307,"N",'Classification Matrix'!$G$2:$G$307,E$4)+COUNTIFS('Classification Matrix'!$D$2:$D$307,"N",'Classification Matrix'!$H$2:$H$307,E$4)+COUNTIFS('Classification Matrix'!$D$2:$D$307,"N",'Classification Matrix'!$I$2:$I$307,E$4)</f>
        <v/>
      </c>
      <c r="F18" s="14">
        <f>COUNTIFS('Classification Matrix'!$D$2:$D$307,"N",'Classification Matrix'!$G$2:$G$307,F$4)+COUNTIFS('Classification Matrix'!$D$2:$D$307,"N",'Classification Matrix'!$H$2:$H$307,F$4)+COUNTIFS('Classification Matrix'!$D$2:$D$307,"N",'Classification Matrix'!$I$2:$I$307,F$4)</f>
        <v/>
      </c>
      <c r="G18" s="14">
        <f>COUNTIFS('Classification Matrix'!$D$2:$D$307,"N",'Classification Matrix'!$G$2:$G$307,G$4)+COUNTIFS('Classification Matrix'!$D$2:$D$307,"N",'Classification Matrix'!$H$2:$H$307,G$4)+COUNTIFS('Classification Matrix'!$D$2:$D$307,"N",'Classification Matrix'!$I$2:$I$307,G$4)</f>
        <v/>
      </c>
      <c r="H18" s="14">
        <f>COUNTIFS('Classification Matrix'!$D$2:$D$307,"N",'Classification Matrix'!$G$2:$G$307,H$4)+COUNTIFS('Classification Matrix'!$D$2:$D$307,"N",'Classification Matrix'!$H$2:$H$307,H$4)+COUNTIFS('Classification Matrix'!$D$2:$D$307,"N",'Classification Matrix'!$I$2:$I$307,H$4)</f>
        <v/>
      </c>
      <c r="I18" s="14">
        <f>COUNTIFS('Classification Matrix'!$D$2:$D$307,"N",'Classification Matrix'!$G$2:$G$307,I$4)+COUNTIFS('Classification Matrix'!$D$2:$D$307,"N",'Classification Matrix'!$H$2:$H$307,I$4)+COUNTIFS('Classification Matrix'!$D$2:$D$307,"N",'Classification Matrix'!$I$2:$I$307,I$4)</f>
        <v/>
      </c>
      <c r="J18" s="14">
        <f>COUNTIFS('Classification Matrix'!$D$2:$D$307,"N",'Classification Matrix'!$G$2:$G$307,J$4)+COUNTIFS('Classification Matrix'!$D$2:$D$307,"N",'Classification Matrix'!$H$2:$H$307,J$4)+COUNTIFS('Classification Matrix'!$D$2:$D$307,"N",'Classification Matrix'!$I$2:$I$307,J$4)</f>
        <v/>
      </c>
      <c r="K18" s="14">
        <f>COUNTIFS('Classification Matrix'!$D$2:$D$307,"N",'Classification Matrix'!$G$2:$G$307,K$4)+COUNTIFS('Classification Matrix'!$D$2:$D$307,"N",'Classification Matrix'!$H$2:$H$307,K$4)+COUNTIFS('Classification Matrix'!$D$2:$D$307,"N",'Classification Matrix'!$I$2:$I$307,K$4)</f>
        <v/>
      </c>
      <c r="L18" s="14">
        <f>COUNTIFS('Classification Matrix'!$D$2:$D$307,"N",'Classification Matrix'!$G$2:$G$307,L$4)+COUNTIFS('Classification Matrix'!$D$2:$D$307,"N",'Classification Matrix'!$H$2:$H$307,L$4)+COUNTIFS('Classification Matrix'!$D$2:$D$307,"N",'Classification Matrix'!$I$2:$I$307,L$4)</f>
        <v/>
      </c>
      <c r="M18" s="14">
        <f>COUNTIF(C18:L18,"&gt;0")</f>
        <v/>
      </c>
    </row>
    <row r="19">
      <c r="A19" s="15" t="inlineStr">
        <is>
          <t>O. Polynomials</t>
        </is>
      </c>
      <c r="B19" s="18">
        <f>COUNTIF('Classification Matrix'!$D$2:$D$307,"O")</f>
        <v/>
      </c>
      <c r="C19" s="18">
        <f>COUNTIFS('Classification Matrix'!$D$2:$D$307,"O",'Classification Matrix'!$G$2:$G$307,C$4)+COUNTIFS('Classification Matrix'!$D$2:$D$307,"O",'Classification Matrix'!$H$2:$H$307,C$4)+COUNTIFS('Classification Matrix'!$D$2:$D$307,"O",'Classification Matrix'!$I$2:$I$307,C$4)</f>
        <v/>
      </c>
      <c r="D19" s="18">
        <f>COUNTIFS('Classification Matrix'!$D$2:$D$307,"O",'Classification Matrix'!$G$2:$G$307,D$4)+COUNTIFS('Classification Matrix'!$D$2:$D$307,"O",'Classification Matrix'!$H$2:$H$307,D$4)+COUNTIFS('Classification Matrix'!$D$2:$D$307,"O",'Classification Matrix'!$I$2:$I$307,D$4)</f>
        <v/>
      </c>
      <c r="E19" s="18">
        <f>COUNTIFS('Classification Matrix'!$D$2:$D$307,"O",'Classification Matrix'!$G$2:$G$307,E$4)+COUNTIFS('Classification Matrix'!$D$2:$D$307,"O",'Classification Matrix'!$H$2:$H$307,E$4)+COUNTIFS('Classification Matrix'!$D$2:$D$307,"O",'Classification Matrix'!$I$2:$I$307,E$4)</f>
        <v/>
      </c>
      <c r="F19" s="18">
        <f>COUNTIFS('Classification Matrix'!$D$2:$D$307,"O",'Classification Matrix'!$G$2:$G$307,F$4)+COUNTIFS('Classification Matrix'!$D$2:$D$307,"O",'Classification Matrix'!$H$2:$H$307,F$4)+COUNTIFS('Classification Matrix'!$D$2:$D$307,"O",'Classification Matrix'!$I$2:$I$307,F$4)</f>
        <v/>
      </c>
      <c r="G19" s="18">
        <f>COUNTIFS('Classification Matrix'!$D$2:$D$307,"O",'Classification Matrix'!$G$2:$G$307,G$4)+COUNTIFS('Classification Matrix'!$D$2:$D$307,"O",'Classification Matrix'!$H$2:$H$307,G$4)+COUNTIFS('Classification Matrix'!$D$2:$D$307,"O",'Classification Matrix'!$I$2:$I$307,G$4)</f>
        <v/>
      </c>
      <c r="H19" s="18">
        <f>COUNTIFS('Classification Matrix'!$D$2:$D$307,"O",'Classification Matrix'!$G$2:$G$307,H$4)+COUNTIFS('Classification Matrix'!$D$2:$D$307,"O",'Classification Matrix'!$H$2:$H$307,H$4)+COUNTIFS('Classification Matrix'!$D$2:$D$307,"O",'Classification Matrix'!$I$2:$I$307,H$4)</f>
        <v/>
      </c>
      <c r="I19" s="18">
        <f>COUNTIFS('Classification Matrix'!$D$2:$D$307,"O",'Classification Matrix'!$G$2:$G$307,I$4)+COUNTIFS('Classification Matrix'!$D$2:$D$307,"O",'Classification Matrix'!$H$2:$H$307,I$4)+COUNTIFS('Classification Matrix'!$D$2:$D$307,"O",'Classification Matrix'!$I$2:$I$307,I$4)</f>
        <v/>
      </c>
      <c r="J19" s="18">
        <f>COUNTIFS('Classification Matrix'!$D$2:$D$307,"O",'Classification Matrix'!$G$2:$G$307,J$4)+COUNTIFS('Classification Matrix'!$D$2:$D$307,"O",'Classification Matrix'!$H$2:$H$307,J$4)+COUNTIFS('Classification Matrix'!$D$2:$D$307,"O",'Classification Matrix'!$I$2:$I$307,J$4)</f>
        <v/>
      </c>
      <c r="K19" s="18">
        <f>COUNTIFS('Classification Matrix'!$D$2:$D$307,"O",'Classification Matrix'!$G$2:$G$307,K$4)+COUNTIFS('Classification Matrix'!$D$2:$D$307,"O",'Classification Matrix'!$H$2:$H$307,K$4)+COUNTIFS('Classification Matrix'!$D$2:$D$307,"O",'Classification Matrix'!$I$2:$I$307,K$4)</f>
        <v/>
      </c>
      <c r="L19" s="18">
        <f>COUNTIFS('Classification Matrix'!$D$2:$D$307,"O",'Classification Matrix'!$G$2:$G$307,L$4)+COUNTIFS('Classification Matrix'!$D$2:$D$307,"O",'Classification Matrix'!$H$2:$H$307,L$4)+COUNTIFS('Classification Matrix'!$D$2:$D$307,"O",'Classification Matrix'!$I$2:$I$307,L$4)</f>
        <v/>
      </c>
      <c r="M19" s="18">
        <f>COUNTIF(C19:L19,"&gt;0")</f>
        <v/>
      </c>
    </row>
    <row r="20">
      <c r="A20" s="15" t="inlineStr">
        <is>
          <t>P. Factoring</t>
        </is>
      </c>
      <c r="B20" s="14">
        <f>COUNTIF('Classification Matrix'!$D$2:$D$307,"P")</f>
        <v/>
      </c>
      <c r="C20" s="14">
        <f>COUNTIFS('Classification Matrix'!$D$2:$D$307,"P",'Classification Matrix'!$G$2:$G$307,C$4)+COUNTIFS('Classification Matrix'!$D$2:$D$307,"P",'Classification Matrix'!$H$2:$H$307,C$4)+COUNTIFS('Classification Matrix'!$D$2:$D$307,"P",'Classification Matrix'!$I$2:$I$307,C$4)</f>
        <v/>
      </c>
      <c r="D20" s="14">
        <f>COUNTIFS('Classification Matrix'!$D$2:$D$307,"P",'Classification Matrix'!$G$2:$G$307,D$4)+COUNTIFS('Classification Matrix'!$D$2:$D$307,"P",'Classification Matrix'!$H$2:$H$307,D$4)+COUNTIFS('Classification Matrix'!$D$2:$D$307,"P",'Classification Matrix'!$I$2:$I$307,D$4)</f>
        <v/>
      </c>
      <c r="E20" s="14">
        <f>COUNTIFS('Classification Matrix'!$D$2:$D$307,"P",'Classification Matrix'!$G$2:$G$307,E$4)+COUNTIFS('Classification Matrix'!$D$2:$D$307,"P",'Classification Matrix'!$H$2:$H$307,E$4)+COUNTIFS('Classification Matrix'!$D$2:$D$307,"P",'Classification Matrix'!$I$2:$I$307,E$4)</f>
        <v/>
      </c>
      <c r="F20" s="14">
        <f>COUNTIFS('Classification Matrix'!$D$2:$D$307,"P",'Classification Matrix'!$G$2:$G$307,F$4)+COUNTIFS('Classification Matrix'!$D$2:$D$307,"P",'Classification Matrix'!$H$2:$H$307,F$4)+COUNTIFS('Classification Matrix'!$D$2:$D$307,"P",'Classification Matrix'!$I$2:$I$307,F$4)</f>
        <v/>
      </c>
      <c r="G20" s="14">
        <f>COUNTIFS('Classification Matrix'!$D$2:$D$307,"P",'Classification Matrix'!$G$2:$G$307,G$4)+COUNTIFS('Classification Matrix'!$D$2:$D$307,"P",'Classification Matrix'!$H$2:$H$307,G$4)+COUNTIFS('Classification Matrix'!$D$2:$D$307,"P",'Classification Matrix'!$I$2:$I$307,G$4)</f>
        <v/>
      </c>
      <c r="H20" s="14">
        <f>COUNTIFS('Classification Matrix'!$D$2:$D$307,"P",'Classification Matrix'!$G$2:$G$307,H$4)+COUNTIFS('Classification Matrix'!$D$2:$D$307,"P",'Classification Matrix'!$H$2:$H$307,H$4)+COUNTIFS('Classification Matrix'!$D$2:$D$307,"P",'Classification Matrix'!$I$2:$I$307,H$4)</f>
        <v/>
      </c>
      <c r="I20" s="14">
        <f>COUNTIFS('Classification Matrix'!$D$2:$D$307,"P",'Classification Matrix'!$G$2:$G$307,I$4)+COUNTIFS('Classification Matrix'!$D$2:$D$307,"P",'Classification Matrix'!$H$2:$H$307,I$4)+COUNTIFS('Classification Matrix'!$D$2:$D$307,"P",'Classification Matrix'!$I$2:$I$307,I$4)</f>
        <v/>
      </c>
      <c r="J20" s="14">
        <f>COUNTIFS('Classification Matrix'!$D$2:$D$307,"P",'Classification Matrix'!$G$2:$G$307,J$4)+COUNTIFS('Classification Matrix'!$D$2:$D$307,"P",'Classification Matrix'!$H$2:$H$307,J$4)+COUNTIFS('Classification Matrix'!$D$2:$D$307,"P",'Classification Matrix'!$I$2:$I$307,J$4)</f>
        <v/>
      </c>
      <c r="K20" s="14">
        <f>COUNTIFS('Classification Matrix'!$D$2:$D$307,"P",'Classification Matrix'!$G$2:$G$307,K$4)+COUNTIFS('Classification Matrix'!$D$2:$D$307,"P",'Classification Matrix'!$H$2:$H$307,K$4)+COUNTIFS('Classification Matrix'!$D$2:$D$307,"P",'Classification Matrix'!$I$2:$I$307,K$4)</f>
        <v/>
      </c>
      <c r="L20" s="14">
        <f>COUNTIFS('Classification Matrix'!$D$2:$D$307,"P",'Classification Matrix'!$G$2:$G$307,L$4)+COUNTIFS('Classification Matrix'!$D$2:$D$307,"P",'Classification Matrix'!$H$2:$H$307,L$4)+COUNTIFS('Classification Matrix'!$D$2:$D$307,"P",'Classification Matrix'!$I$2:$I$307,L$4)</f>
        <v/>
      </c>
      <c r="M20" s="14">
        <f>COUNTIF(C20:L20,"&gt;0")</f>
        <v/>
      </c>
    </row>
    <row r="21">
      <c r="A21" s="15" t="inlineStr">
        <is>
          <t>Q. Quadratic equations</t>
        </is>
      </c>
      <c r="B21" s="18">
        <f>COUNTIF('Classification Matrix'!$D$2:$D$307,"Q")</f>
        <v/>
      </c>
      <c r="C21" s="18">
        <f>COUNTIFS('Classification Matrix'!$D$2:$D$307,"Q",'Classification Matrix'!$G$2:$G$307,C$4)+COUNTIFS('Classification Matrix'!$D$2:$D$307,"Q",'Classification Matrix'!$H$2:$H$307,C$4)+COUNTIFS('Classification Matrix'!$D$2:$D$307,"Q",'Classification Matrix'!$I$2:$I$307,C$4)</f>
        <v/>
      </c>
      <c r="D21" s="18">
        <f>COUNTIFS('Classification Matrix'!$D$2:$D$307,"Q",'Classification Matrix'!$G$2:$G$307,D$4)+COUNTIFS('Classification Matrix'!$D$2:$D$307,"Q",'Classification Matrix'!$H$2:$H$307,D$4)+COUNTIFS('Classification Matrix'!$D$2:$D$307,"Q",'Classification Matrix'!$I$2:$I$307,D$4)</f>
        <v/>
      </c>
      <c r="E21" s="18">
        <f>COUNTIFS('Classification Matrix'!$D$2:$D$307,"Q",'Classification Matrix'!$G$2:$G$307,E$4)+COUNTIFS('Classification Matrix'!$D$2:$D$307,"Q",'Classification Matrix'!$H$2:$H$307,E$4)+COUNTIFS('Classification Matrix'!$D$2:$D$307,"Q",'Classification Matrix'!$I$2:$I$307,E$4)</f>
        <v/>
      </c>
      <c r="F21" s="18">
        <f>COUNTIFS('Classification Matrix'!$D$2:$D$307,"Q",'Classification Matrix'!$G$2:$G$307,F$4)+COUNTIFS('Classification Matrix'!$D$2:$D$307,"Q",'Classification Matrix'!$H$2:$H$307,F$4)+COUNTIFS('Classification Matrix'!$D$2:$D$307,"Q",'Classification Matrix'!$I$2:$I$307,F$4)</f>
        <v/>
      </c>
      <c r="G21" s="18">
        <f>COUNTIFS('Classification Matrix'!$D$2:$D$307,"Q",'Classification Matrix'!$G$2:$G$307,G$4)+COUNTIFS('Classification Matrix'!$D$2:$D$307,"Q",'Classification Matrix'!$H$2:$H$307,G$4)+COUNTIFS('Classification Matrix'!$D$2:$D$307,"Q",'Classification Matrix'!$I$2:$I$307,G$4)</f>
        <v/>
      </c>
      <c r="H21" s="18">
        <f>COUNTIFS('Classification Matrix'!$D$2:$D$307,"Q",'Classification Matrix'!$G$2:$G$307,H$4)+COUNTIFS('Classification Matrix'!$D$2:$D$307,"Q",'Classification Matrix'!$H$2:$H$307,H$4)+COUNTIFS('Classification Matrix'!$D$2:$D$307,"Q",'Classification Matrix'!$I$2:$I$307,H$4)</f>
        <v/>
      </c>
      <c r="I21" s="18">
        <f>COUNTIFS('Classification Matrix'!$D$2:$D$307,"Q",'Classification Matrix'!$G$2:$G$307,I$4)+COUNTIFS('Classification Matrix'!$D$2:$D$307,"Q",'Classification Matrix'!$H$2:$H$307,I$4)+COUNTIFS('Classification Matrix'!$D$2:$D$307,"Q",'Classification Matrix'!$I$2:$I$307,I$4)</f>
        <v/>
      </c>
      <c r="J21" s="18">
        <f>COUNTIFS('Classification Matrix'!$D$2:$D$307,"Q",'Classification Matrix'!$G$2:$G$307,J$4)+COUNTIFS('Classification Matrix'!$D$2:$D$307,"Q",'Classification Matrix'!$H$2:$H$307,J$4)+COUNTIFS('Classification Matrix'!$D$2:$D$307,"Q",'Classification Matrix'!$I$2:$I$307,J$4)</f>
        <v/>
      </c>
      <c r="K21" s="18">
        <f>COUNTIFS('Classification Matrix'!$D$2:$D$307,"Q",'Classification Matrix'!$G$2:$G$307,K$4)+COUNTIFS('Classification Matrix'!$D$2:$D$307,"Q",'Classification Matrix'!$H$2:$H$307,K$4)+COUNTIFS('Classification Matrix'!$D$2:$D$307,"Q",'Classification Matrix'!$I$2:$I$307,K$4)</f>
        <v/>
      </c>
      <c r="L21" s="18">
        <f>COUNTIFS('Classification Matrix'!$D$2:$D$307,"Q",'Classification Matrix'!$G$2:$G$307,L$4)+COUNTIFS('Classification Matrix'!$D$2:$D$307,"Q",'Classification Matrix'!$H$2:$H$307,L$4)+COUNTIFS('Classification Matrix'!$D$2:$D$307,"Q",'Classification Matrix'!$I$2:$I$307,L$4)</f>
        <v/>
      </c>
      <c r="M21" s="18">
        <f>COUNTIF(C21:L21,"&gt;0")</f>
        <v/>
      </c>
    </row>
    <row r="22">
      <c r="A22" s="15" t="inlineStr">
        <is>
          <t>R. Parabolas</t>
        </is>
      </c>
      <c r="B22" s="14">
        <f>COUNTIF('Classification Matrix'!$D$2:$D$307,"R")</f>
        <v/>
      </c>
      <c r="C22" s="14">
        <f>COUNTIFS('Classification Matrix'!$D$2:$D$307,"R",'Classification Matrix'!$G$2:$G$307,C$4)+COUNTIFS('Classification Matrix'!$D$2:$D$307,"R",'Classification Matrix'!$H$2:$H$307,C$4)+COUNTIFS('Classification Matrix'!$D$2:$D$307,"R",'Classification Matrix'!$I$2:$I$307,C$4)</f>
        <v/>
      </c>
      <c r="D22" s="14">
        <f>COUNTIFS('Classification Matrix'!$D$2:$D$307,"R",'Classification Matrix'!$G$2:$G$307,D$4)+COUNTIFS('Classification Matrix'!$D$2:$D$307,"R",'Classification Matrix'!$H$2:$H$307,D$4)+COUNTIFS('Classification Matrix'!$D$2:$D$307,"R",'Classification Matrix'!$I$2:$I$307,D$4)</f>
        <v/>
      </c>
      <c r="E22" s="14">
        <f>COUNTIFS('Classification Matrix'!$D$2:$D$307,"R",'Classification Matrix'!$G$2:$G$307,E$4)+COUNTIFS('Classification Matrix'!$D$2:$D$307,"R",'Classification Matrix'!$H$2:$H$307,E$4)+COUNTIFS('Classification Matrix'!$D$2:$D$307,"R",'Classification Matrix'!$I$2:$I$307,E$4)</f>
        <v/>
      </c>
      <c r="F22" s="14">
        <f>COUNTIFS('Classification Matrix'!$D$2:$D$307,"R",'Classification Matrix'!$G$2:$G$307,F$4)+COUNTIFS('Classification Matrix'!$D$2:$D$307,"R",'Classification Matrix'!$H$2:$H$307,F$4)+COUNTIFS('Classification Matrix'!$D$2:$D$307,"R",'Classification Matrix'!$I$2:$I$307,F$4)</f>
        <v/>
      </c>
      <c r="G22" s="14">
        <f>COUNTIFS('Classification Matrix'!$D$2:$D$307,"R",'Classification Matrix'!$G$2:$G$307,G$4)+COUNTIFS('Classification Matrix'!$D$2:$D$307,"R",'Classification Matrix'!$H$2:$H$307,G$4)+COUNTIFS('Classification Matrix'!$D$2:$D$307,"R",'Classification Matrix'!$I$2:$I$307,G$4)</f>
        <v/>
      </c>
      <c r="H22" s="14">
        <f>COUNTIFS('Classification Matrix'!$D$2:$D$307,"R",'Classification Matrix'!$G$2:$G$307,H$4)+COUNTIFS('Classification Matrix'!$D$2:$D$307,"R",'Classification Matrix'!$H$2:$H$307,H$4)+COUNTIFS('Classification Matrix'!$D$2:$D$307,"R",'Classification Matrix'!$I$2:$I$307,H$4)</f>
        <v/>
      </c>
      <c r="I22" s="14">
        <f>COUNTIFS('Classification Matrix'!$D$2:$D$307,"R",'Classification Matrix'!$G$2:$G$307,I$4)+COUNTIFS('Classification Matrix'!$D$2:$D$307,"R",'Classification Matrix'!$H$2:$H$307,I$4)+COUNTIFS('Classification Matrix'!$D$2:$D$307,"R",'Classification Matrix'!$I$2:$I$307,I$4)</f>
        <v/>
      </c>
      <c r="J22" s="14">
        <f>COUNTIFS('Classification Matrix'!$D$2:$D$307,"R",'Classification Matrix'!$G$2:$G$307,J$4)+COUNTIFS('Classification Matrix'!$D$2:$D$307,"R",'Classification Matrix'!$H$2:$H$307,J$4)+COUNTIFS('Classification Matrix'!$D$2:$D$307,"R",'Classification Matrix'!$I$2:$I$307,J$4)</f>
        <v/>
      </c>
      <c r="K22" s="14">
        <f>COUNTIFS('Classification Matrix'!$D$2:$D$307,"R",'Classification Matrix'!$G$2:$G$307,K$4)+COUNTIFS('Classification Matrix'!$D$2:$D$307,"R",'Classification Matrix'!$H$2:$H$307,K$4)+COUNTIFS('Classification Matrix'!$D$2:$D$307,"R",'Classification Matrix'!$I$2:$I$307,K$4)</f>
        <v/>
      </c>
      <c r="L22" s="14">
        <f>COUNTIFS('Classification Matrix'!$D$2:$D$307,"R",'Classification Matrix'!$G$2:$G$307,L$4)+COUNTIFS('Classification Matrix'!$D$2:$D$307,"R",'Classification Matrix'!$H$2:$H$307,L$4)+COUNTIFS('Classification Matrix'!$D$2:$D$307,"R",'Classification Matrix'!$I$2:$I$307,L$4)</f>
        <v/>
      </c>
      <c r="M22" s="14">
        <f>COUNTIF(C22:L22,"&gt;0")</f>
        <v/>
      </c>
    </row>
    <row r="23">
      <c r="A23" s="15" t="inlineStr">
        <is>
          <t>S. Functions: linear, quadratic, exponential</t>
        </is>
      </c>
      <c r="B23" s="18">
        <f>COUNTIF('Classification Matrix'!$D$2:$D$307,"S")</f>
        <v/>
      </c>
      <c r="C23" s="18">
        <f>COUNTIFS('Classification Matrix'!$D$2:$D$307,"S",'Classification Matrix'!$G$2:$G$307,C$4)+COUNTIFS('Classification Matrix'!$D$2:$D$307,"S",'Classification Matrix'!$H$2:$H$307,C$4)+COUNTIFS('Classification Matrix'!$D$2:$D$307,"S",'Classification Matrix'!$I$2:$I$307,C$4)</f>
        <v/>
      </c>
      <c r="D23" s="18">
        <f>COUNTIFS('Classification Matrix'!$D$2:$D$307,"S",'Classification Matrix'!$G$2:$G$307,D$4)+COUNTIFS('Classification Matrix'!$D$2:$D$307,"S",'Classification Matrix'!$H$2:$H$307,D$4)+COUNTIFS('Classification Matrix'!$D$2:$D$307,"S",'Classification Matrix'!$I$2:$I$307,D$4)</f>
        <v/>
      </c>
      <c r="E23" s="18">
        <f>COUNTIFS('Classification Matrix'!$D$2:$D$307,"S",'Classification Matrix'!$G$2:$G$307,E$4)+COUNTIFS('Classification Matrix'!$D$2:$D$307,"S",'Classification Matrix'!$H$2:$H$307,E$4)+COUNTIFS('Classification Matrix'!$D$2:$D$307,"S",'Classification Matrix'!$I$2:$I$307,E$4)</f>
        <v/>
      </c>
      <c r="F23" s="18">
        <f>COUNTIFS('Classification Matrix'!$D$2:$D$307,"S",'Classification Matrix'!$G$2:$G$307,F$4)+COUNTIFS('Classification Matrix'!$D$2:$D$307,"S",'Classification Matrix'!$H$2:$H$307,F$4)+COUNTIFS('Classification Matrix'!$D$2:$D$307,"S",'Classification Matrix'!$I$2:$I$307,F$4)</f>
        <v/>
      </c>
      <c r="G23" s="18">
        <f>COUNTIFS('Classification Matrix'!$D$2:$D$307,"S",'Classification Matrix'!$G$2:$G$307,G$4)+COUNTIFS('Classification Matrix'!$D$2:$D$307,"S",'Classification Matrix'!$H$2:$H$307,G$4)+COUNTIFS('Classification Matrix'!$D$2:$D$307,"S",'Classification Matrix'!$I$2:$I$307,G$4)</f>
        <v/>
      </c>
      <c r="H23" s="18">
        <f>COUNTIFS('Classification Matrix'!$D$2:$D$307,"S",'Classification Matrix'!$G$2:$G$307,H$4)+COUNTIFS('Classification Matrix'!$D$2:$D$307,"S",'Classification Matrix'!$H$2:$H$307,H$4)+COUNTIFS('Classification Matrix'!$D$2:$D$307,"S",'Classification Matrix'!$I$2:$I$307,H$4)</f>
        <v/>
      </c>
      <c r="I23" s="18">
        <f>COUNTIFS('Classification Matrix'!$D$2:$D$307,"S",'Classification Matrix'!$G$2:$G$307,I$4)+COUNTIFS('Classification Matrix'!$D$2:$D$307,"S",'Classification Matrix'!$H$2:$H$307,I$4)+COUNTIFS('Classification Matrix'!$D$2:$D$307,"S",'Classification Matrix'!$I$2:$I$307,I$4)</f>
        <v/>
      </c>
      <c r="J23" s="18">
        <f>COUNTIFS('Classification Matrix'!$D$2:$D$307,"S",'Classification Matrix'!$G$2:$G$307,J$4)+COUNTIFS('Classification Matrix'!$D$2:$D$307,"S",'Classification Matrix'!$H$2:$H$307,J$4)+COUNTIFS('Classification Matrix'!$D$2:$D$307,"S",'Classification Matrix'!$I$2:$I$307,J$4)</f>
        <v/>
      </c>
      <c r="K23" s="18">
        <f>COUNTIFS('Classification Matrix'!$D$2:$D$307,"S",'Classification Matrix'!$G$2:$G$307,K$4)+COUNTIFS('Classification Matrix'!$D$2:$D$307,"S",'Classification Matrix'!$H$2:$H$307,K$4)+COUNTIFS('Classification Matrix'!$D$2:$D$307,"S",'Classification Matrix'!$I$2:$I$307,K$4)</f>
        <v/>
      </c>
      <c r="L23" s="18">
        <f>COUNTIFS('Classification Matrix'!$D$2:$D$307,"S",'Classification Matrix'!$G$2:$G$307,L$4)+COUNTIFS('Classification Matrix'!$D$2:$D$307,"S",'Classification Matrix'!$H$2:$H$307,L$4)+COUNTIFS('Classification Matrix'!$D$2:$D$307,"S",'Classification Matrix'!$I$2:$I$307,L$4)</f>
        <v/>
      </c>
      <c r="M23" s="18">
        <f>COUNTIF(C23:L23,"&gt;0")</f>
        <v/>
      </c>
    </row>
    <row r="24">
      <c r="A24" s="15" t="inlineStr">
        <is>
          <t>T. Rational functions and expressions</t>
        </is>
      </c>
      <c r="B24" s="14">
        <f>COUNTIF('Classification Matrix'!$D$2:$D$307,"T")</f>
        <v/>
      </c>
      <c r="C24" s="14">
        <f>COUNTIFS('Classification Matrix'!$D$2:$D$307,"T",'Classification Matrix'!$G$2:$G$307,C$4)+COUNTIFS('Classification Matrix'!$D$2:$D$307,"T",'Classification Matrix'!$H$2:$H$307,C$4)+COUNTIFS('Classification Matrix'!$D$2:$D$307,"T",'Classification Matrix'!$I$2:$I$307,C$4)</f>
        <v/>
      </c>
      <c r="D24" s="14">
        <f>COUNTIFS('Classification Matrix'!$D$2:$D$307,"T",'Classification Matrix'!$G$2:$G$307,D$4)+COUNTIFS('Classification Matrix'!$D$2:$D$307,"T",'Classification Matrix'!$H$2:$H$307,D$4)+COUNTIFS('Classification Matrix'!$D$2:$D$307,"T",'Classification Matrix'!$I$2:$I$307,D$4)</f>
        <v/>
      </c>
      <c r="E24" s="14">
        <f>COUNTIFS('Classification Matrix'!$D$2:$D$307,"T",'Classification Matrix'!$G$2:$G$307,E$4)+COUNTIFS('Classification Matrix'!$D$2:$D$307,"T",'Classification Matrix'!$H$2:$H$307,E$4)+COUNTIFS('Classification Matrix'!$D$2:$D$307,"T",'Classification Matrix'!$I$2:$I$307,E$4)</f>
        <v/>
      </c>
      <c r="F24" s="14">
        <f>COUNTIFS('Classification Matrix'!$D$2:$D$307,"T",'Classification Matrix'!$G$2:$G$307,F$4)+COUNTIFS('Classification Matrix'!$D$2:$D$307,"T",'Classification Matrix'!$H$2:$H$307,F$4)+COUNTIFS('Classification Matrix'!$D$2:$D$307,"T",'Classification Matrix'!$I$2:$I$307,F$4)</f>
        <v/>
      </c>
      <c r="G24" s="14">
        <f>COUNTIFS('Classification Matrix'!$D$2:$D$307,"T",'Classification Matrix'!$G$2:$G$307,G$4)+COUNTIFS('Classification Matrix'!$D$2:$D$307,"T",'Classification Matrix'!$H$2:$H$307,G$4)+COUNTIFS('Classification Matrix'!$D$2:$D$307,"T",'Classification Matrix'!$I$2:$I$307,G$4)</f>
        <v/>
      </c>
      <c r="H24" s="14">
        <f>COUNTIFS('Classification Matrix'!$D$2:$D$307,"T",'Classification Matrix'!$G$2:$G$307,H$4)+COUNTIFS('Classification Matrix'!$D$2:$D$307,"T",'Classification Matrix'!$H$2:$H$307,H$4)+COUNTIFS('Classification Matrix'!$D$2:$D$307,"T",'Classification Matrix'!$I$2:$I$307,H$4)</f>
        <v/>
      </c>
      <c r="I24" s="14">
        <f>COUNTIFS('Classification Matrix'!$D$2:$D$307,"T",'Classification Matrix'!$G$2:$G$307,I$4)+COUNTIFS('Classification Matrix'!$D$2:$D$307,"T",'Classification Matrix'!$H$2:$H$307,I$4)+COUNTIFS('Classification Matrix'!$D$2:$D$307,"T",'Classification Matrix'!$I$2:$I$307,I$4)</f>
        <v/>
      </c>
      <c r="J24" s="14">
        <f>COUNTIFS('Classification Matrix'!$D$2:$D$307,"T",'Classification Matrix'!$G$2:$G$307,J$4)+COUNTIFS('Classification Matrix'!$D$2:$D$307,"T",'Classification Matrix'!$H$2:$H$307,J$4)+COUNTIFS('Classification Matrix'!$D$2:$D$307,"T",'Classification Matrix'!$I$2:$I$307,J$4)</f>
        <v/>
      </c>
      <c r="K24" s="14">
        <f>COUNTIFS('Classification Matrix'!$D$2:$D$307,"T",'Classification Matrix'!$G$2:$G$307,K$4)+COUNTIFS('Classification Matrix'!$D$2:$D$307,"T",'Classification Matrix'!$H$2:$H$307,K$4)+COUNTIFS('Classification Matrix'!$D$2:$D$307,"T",'Classification Matrix'!$I$2:$I$307,K$4)</f>
        <v/>
      </c>
      <c r="L24" s="14">
        <f>COUNTIFS('Classification Matrix'!$D$2:$D$307,"T",'Classification Matrix'!$G$2:$G$307,L$4)+COUNTIFS('Classification Matrix'!$D$2:$D$307,"T",'Classification Matrix'!$H$2:$H$307,L$4)+COUNTIFS('Classification Matrix'!$D$2:$D$307,"T",'Classification Matrix'!$I$2:$I$307,L$4)</f>
        <v/>
      </c>
      <c r="M24" s="14">
        <f>COUNTIF(C24:L24,"&gt;0")</f>
        <v/>
      </c>
    </row>
    <row r="25">
      <c r="A25" s="15" t="inlineStr">
        <is>
          <t>U. Circles in the coordinate plane</t>
        </is>
      </c>
      <c r="B25" s="18">
        <f>COUNTIF('Classification Matrix'!$D$2:$D$307,"U")</f>
        <v/>
      </c>
      <c r="C25" s="18">
        <f>COUNTIFS('Classification Matrix'!$D$2:$D$307,"U",'Classification Matrix'!$G$2:$G$307,C$4)+COUNTIFS('Classification Matrix'!$D$2:$D$307,"U",'Classification Matrix'!$H$2:$H$307,C$4)+COUNTIFS('Classification Matrix'!$D$2:$D$307,"U",'Classification Matrix'!$I$2:$I$307,C$4)</f>
        <v/>
      </c>
      <c r="D25" s="18">
        <f>COUNTIFS('Classification Matrix'!$D$2:$D$307,"U",'Classification Matrix'!$G$2:$G$307,D$4)+COUNTIFS('Classification Matrix'!$D$2:$D$307,"U",'Classification Matrix'!$H$2:$H$307,D$4)+COUNTIFS('Classification Matrix'!$D$2:$D$307,"U",'Classification Matrix'!$I$2:$I$307,D$4)</f>
        <v/>
      </c>
      <c r="E25" s="18">
        <f>COUNTIFS('Classification Matrix'!$D$2:$D$307,"U",'Classification Matrix'!$G$2:$G$307,E$4)+COUNTIFS('Classification Matrix'!$D$2:$D$307,"U",'Classification Matrix'!$H$2:$H$307,E$4)+COUNTIFS('Classification Matrix'!$D$2:$D$307,"U",'Classification Matrix'!$I$2:$I$307,E$4)</f>
        <v/>
      </c>
      <c r="F25" s="18">
        <f>COUNTIFS('Classification Matrix'!$D$2:$D$307,"U",'Classification Matrix'!$G$2:$G$307,F$4)+COUNTIFS('Classification Matrix'!$D$2:$D$307,"U",'Classification Matrix'!$H$2:$H$307,F$4)+COUNTIFS('Classification Matrix'!$D$2:$D$307,"U",'Classification Matrix'!$I$2:$I$307,F$4)</f>
        <v/>
      </c>
      <c r="G25" s="18">
        <f>COUNTIFS('Classification Matrix'!$D$2:$D$307,"U",'Classification Matrix'!$G$2:$G$307,G$4)+COUNTIFS('Classification Matrix'!$D$2:$D$307,"U",'Classification Matrix'!$H$2:$H$307,G$4)+COUNTIFS('Classification Matrix'!$D$2:$D$307,"U",'Classification Matrix'!$I$2:$I$307,G$4)</f>
        <v/>
      </c>
      <c r="H25" s="18">
        <f>COUNTIFS('Classification Matrix'!$D$2:$D$307,"U",'Classification Matrix'!$G$2:$G$307,H$4)+COUNTIFS('Classification Matrix'!$D$2:$D$307,"U",'Classification Matrix'!$H$2:$H$307,H$4)+COUNTIFS('Classification Matrix'!$D$2:$D$307,"U",'Classification Matrix'!$I$2:$I$307,H$4)</f>
        <v/>
      </c>
      <c r="I25" s="18">
        <f>COUNTIFS('Classification Matrix'!$D$2:$D$307,"U",'Classification Matrix'!$G$2:$G$307,I$4)+COUNTIFS('Classification Matrix'!$D$2:$D$307,"U",'Classification Matrix'!$H$2:$H$307,I$4)+COUNTIFS('Classification Matrix'!$D$2:$D$307,"U",'Classification Matrix'!$I$2:$I$307,I$4)</f>
        <v/>
      </c>
      <c r="J25" s="18">
        <f>COUNTIFS('Classification Matrix'!$D$2:$D$307,"U",'Classification Matrix'!$G$2:$G$307,J$4)+COUNTIFS('Classification Matrix'!$D$2:$D$307,"U",'Classification Matrix'!$H$2:$H$307,J$4)+COUNTIFS('Classification Matrix'!$D$2:$D$307,"U",'Classification Matrix'!$I$2:$I$307,J$4)</f>
        <v/>
      </c>
      <c r="K25" s="18">
        <f>COUNTIFS('Classification Matrix'!$D$2:$D$307,"U",'Classification Matrix'!$G$2:$G$307,K$4)+COUNTIFS('Classification Matrix'!$D$2:$D$307,"U",'Classification Matrix'!$H$2:$H$307,K$4)+COUNTIFS('Classification Matrix'!$D$2:$D$307,"U",'Classification Matrix'!$I$2:$I$307,K$4)</f>
        <v/>
      </c>
      <c r="L25" s="18">
        <f>COUNTIFS('Classification Matrix'!$D$2:$D$307,"U",'Classification Matrix'!$G$2:$G$307,L$4)+COUNTIFS('Classification Matrix'!$D$2:$D$307,"U",'Classification Matrix'!$H$2:$H$307,L$4)+COUNTIFS('Classification Matrix'!$D$2:$D$307,"U",'Classification Matrix'!$I$2:$I$307,L$4)</f>
        <v/>
      </c>
      <c r="M25" s="18">
        <f>COUNTIF(C25:L25,"&gt;0")</f>
        <v/>
      </c>
    </row>
    <row r="26">
      <c r="A26" s="15" t="inlineStr">
        <is>
          <t>V. Logic</t>
        </is>
      </c>
      <c r="B26" s="14">
        <f>COUNTIF('Classification Matrix'!$D$2:$D$307,"V")</f>
        <v/>
      </c>
      <c r="C26" s="14">
        <f>COUNTIFS('Classification Matrix'!$D$2:$D$307,"V",'Classification Matrix'!$G$2:$G$307,C$4)+COUNTIFS('Classification Matrix'!$D$2:$D$307,"V",'Classification Matrix'!$H$2:$H$307,C$4)+COUNTIFS('Classification Matrix'!$D$2:$D$307,"V",'Classification Matrix'!$I$2:$I$307,C$4)</f>
        <v/>
      </c>
      <c r="D26" s="14">
        <f>COUNTIFS('Classification Matrix'!$D$2:$D$307,"V",'Classification Matrix'!$G$2:$G$307,D$4)+COUNTIFS('Classification Matrix'!$D$2:$D$307,"V",'Classification Matrix'!$H$2:$H$307,D$4)+COUNTIFS('Classification Matrix'!$D$2:$D$307,"V",'Classification Matrix'!$I$2:$I$307,D$4)</f>
        <v/>
      </c>
      <c r="E26" s="14">
        <f>COUNTIFS('Classification Matrix'!$D$2:$D$307,"V",'Classification Matrix'!$G$2:$G$307,E$4)+COUNTIFS('Classification Matrix'!$D$2:$D$307,"V",'Classification Matrix'!$H$2:$H$307,E$4)+COUNTIFS('Classification Matrix'!$D$2:$D$307,"V",'Classification Matrix'!$I$2:$I$307,E$4)</f>
        <v/>
      </c>
      <c r="F26" s="14">
        <f>COUNTIFS('Classification Matrix'!$D$2:$D$307,"V",'Classification Matrix'!$G$2:$G$307,F$4)+COUNTIFS('Classification Matrix'!$D$2:$D$307,"V",'Classification Matrix'!$H$2:$H$307,F$4)+COUNTIFS('Classification Matrix'!$D$2:$D$307,"V",'Classification Matrix'!$I$2:$I$307,F$4)</f>
        <v/>
      </c>
      <c r="G26" s="14">
        <f>COUNTIFS('Classification Matrix'!$D$2:$D$307,"V",'Classification Matrix'!$G$2:$G$307,G$4)+COUNTIFS('Classification Matrix'!$D$2:$D$307,"V",'Classification Matrix'!$H$2:$H$307,G$4)+COUNTIFS('Classification Matrix'!$D$2:$D$307,"V",'Classification Matrix'!$I$2:$I$307,G$4)</f>
        <v/>
      </c>
      <c r="H26" s="14">
        <f>COUNTIFS('Classification Matrix'!$D$2:$D$307,"V",'Classification Matrix'!$G$2:$G$307,H$4)+COUNTIFS('Classification Matrix'!$D$2:$D$307,"V",'Classification Matrix'!$H$2:$H$307,H$4)+COUNTIFS('Classification Matrix'!$D$2:$D$307,"V",'Classification Matrix'!$I$2:$I$307,H$4)</f>
        <v/>
      </c>
      <c r="I26" s="14">
        <f>COUNTIFS('Classification Matrix'!$D$2:$D$307,"V",'Classification Matrix'!$G$2:$G$307,I$4)+COUNTIFS('Classification Matrix'!$D$2:$D$307,"V",'Classification Matrix'!$H$2:$H$307,I$4)+COUNTIFS('Classification Matrix'!$D$2:$D$307,"V",'Classification Matrix'!$I$2:$I$307,I$4)</f>
        <v/>
      </c>
      <c r="J26" s="14">
        <f>COUNTIFS('Classification Matrix'!$D$2:$D$307,"V",'Classification Matrix'!$G$2:$G$307,J$4)+COUNTIFS('Classification Matrix'!$D$2:$D$307,"V",'Classification Matrix'!$H$2:$H$307,J$4)+COUNTIFS('Classification Matrix'!$D$2:$D$307,"V",'Classification Matrix'!$I$2:$I$307,J$4)</f>
        <v/>
      </c>
      <c r="K26" s="14">
        <f>COUNTIFS('Classification Matrix'!$D$2:$D$307,"V",'Classification Matrix'!$G$2:$G$307,K$4)+COUNTIFS('Classification Matrix'!$D$2:$D$307,"V",'Classification Matrix'!$H$2:$H$307,K$4)+COUNTIFS('Classification Matrix'!$D$2:$D$307,"V",'Classification Matrix'!$I$2:$I$307,K$4)</f>
        <v/>
      </c>
      <c r="L26" s="14">
        <f>COUNTIFS('Classification Matrix'!$D$2:$D$307,"V",'Classification Matrix'!$G$2:$G$307,L$4)+COUNTIFS('Classification Matrix'!$D$2:$D$307,"V",'Classification Matrix'!$H$2:$H$307,L$4)+COUNTIFS('Classification Matrix'!$D$2:$D$307,"V",'Classification Matrix'!$I$2:$I$307,L$4)</f>
        <v/>
      </c>
      <c r="M26" s="14">
        <f>COUNTIF(C26:L26,"&gt;0")</f>
        <v/>
      </c>
    </row>
    <row r="27">
      <c r="A27" s="15" t="inlineStr">
        <is>
          <t>W. Measurement</t>
        </is>
      </c>
      <c r="B27" s="18">
        <f>COUNTIF('Classification Matrix'!$D$2:$D$307,"W")</f>
        <v/>
      </c>
      <c r="C27" s="18">
        <f>COUNTIFS('Classification Matrix'!$D$2:$D$307,"W",'Classification Matrix'!$G$2:$G$307,C$4)+COUNTIFS('Classification Matrix'!$D$2:$D$307,"W",'Classification Matrix'!$H$2:$H$307,C$4)+COUNTIFS('Classification Matrix'!$D$2:$D$307,"W",'Classification Matrix'!$I$2:$I$307,C$4)</f>
        <v/>
      </c>
      <c r="D27" s="18">
        <f>COUNTIFS('Classification Matrix'!$D$2:$D$307,"W",'Classification Matrix'!$G$2:$G$307,D$4)+COUNTIFS('Classification Matrix'!$D$2:$D$307,"W",'Classification Matrix'!$H$2:$H$307,D$4)+COUNTIFS('Classification Matrix'!$D$2:$D$307,"W",'Classification Matrix'!$I$2:$I$307,D$4)</f>
        <v/>
      </c>
      <c r="E27" s="18">
        <f>COUNTIFS('Classification Matrix'!$D$2:$D$307,"W",'Classification Matrix'!$G$2:$G$307,E$4)+COUNTIFS('Classification Matrix'!$D$2:$D$307,"W",'Classification Matrix'!$H$2:$H$307,E$4)+COUNTIFS('Classification Matrix'!$D$2:$D$307,"W",'Classification Matrix'!$I$2:$I$307,E$4)</f>
        <v/>
      </c>
      <c r="F27" s="18">
        <f>COUNTIFS('Classification Matrix'!$D$2:$D$307,"W",'Classification Matrix'!$G$2:$G$307,F$4)+COUNTIFS('Classification Matrix'!$D$2:$D$307,"W",'Classification Matrix'!$H$2:$H$307,F$4)+COUNTIFS('Classification Matrix'!$D$2:$D$307,"W",'Classification Matrix'!$I$2:$I$307,F$4)</f>
        <v/>
      </c>
      <c r="G27" s="18">
        <f>COUNTIFS('Classification Matrix'!$D$2:$D$307,"W",'Classification Matrix'!$G$2:$G$307,G$4)+COUNTIFS('Classification Matrix'!$D$2:$D$307,"W",'Classification Matrix'!$H$2:$H$307,G$4)+COUNTIFS('Classification Matrix'!$D$2:$D$307,"W",'Classification Matrix'!$I$2:$I$307,G$4)</f>
        <v/>
      </c>
      <c r="H27" s="18">
        <f>COUNTIFS('Classification Matrix'!$D$2:$D$307,"W",'Classification Matrix'!$G$2:$G$307,H$4)+COUNTIFS('Classification Matrix'!$D$2:$D$307,"W",'Classification Matrix'!$H$2:$H$307,H$4)+COUNTIFS('Classification Matrix'!$D$2:$D$307,"W",'Classification Matrix'!$I$2:$I$307,H$4)</f>
        <v/>
      </c>
      <c r="I27" s="18">
        <f>COUNTIFS('Classification Matrix'!$D$2:$D$307,"W",'Classification Matrix'!$G$2:$G$307,I$4)+COUNTIFS('Classification Matrix'!$D$2:$D$307,"W",'Classification Matrix'!$H$2:$H$307,I$4)+COUNTIFS('Classification Matrix'!$D$2:$D$307,"W",'Classification Matrix'!$I$2:$I$307,I$4)</f>
        <v/>
      </c>
      <c r="J27" s="18">
        <f>COUNTIFS('Classification Matrix'!$D$2:$D$307,"W",'Classification Matrix'!$G$2:$G$307,J$4)+COUNTIFS('Classification Matrix'!$D$2:$D$307,"W",'Classification Matrix'!$H$2:$H$307,J$4)+COUNTIFS('Classification Matrix'!$D$2:$D$307,"W",'Classification Matrix'!$I$2:$I$307,J$4)</f>
        <v/>
      </c>
      <c r="K27" s="18">
        <f>COUNTIFS('Classification Matrix'!$D$2:$D$307,"W",'Classification Matrix'!$G$2:$G$307,K$4)+COUNTIFS('Classification Matrix'!$D$2:$D$307,"W",'Classification Matrix'!$H$2:$H$307,K$4)+COUNTIFS('Classification Matrix'!$D$2:$D$307,"W",'Classification Matrix'!$I$2:$I$307,K$4)</f>
        <v/>
      </c>
      <c r="L27" s="18">
        <f>COUNTIFS('Classification Matrix'!$D$2:$D$307,"W",'Classification Matrix'!$G$2:$G$307,L$4)+COUNTIFS('Classification Matrix'!$D$2:$D$307,"W",'Classification Matrix'!$H$2:$H$307,L$4)+COUNTIFS('Classification Matrix'!$D$2:$D$307,"W",'Classification Matrix'!$I$2:$I$307,L$4)</f>
        <v/>
      </c>
      <c r="M27" s="18">
        <f>COUNTIF(C27:L27,"&gt;0")</f>
        <v/>
      </c>
    </row>
    <row r="28">
      <c r="A28" s="15" t="inlineStr">
        <is>
          <t>X. Constructions</t>
        </is>
      </c>
      <c r="B28" s="14">
        <f>COUNTIF('Classification Matrix'!$D$2:$D$307,"X")</f>
        <v/>
      </c>
      <c r="C28" s="14">
        <f>COUNTIFS('Classification Matrix'!$D$2:$D$307,"X",'Classification Matrix'!$G$2:$G$307,C$4)+COUNTIFS('Classification Matrix'!$D$2:$D$307,"X",'Classification Matrix'!$H$2:$H$307,C$4)+COUNTIFS('Classification Matrix'!$D$2:$D$307,"X",'Classification Matrix'!$I$2:$I$307,C$4)</f>
        <v/>
      </c>
      <c r="D28" s="14">
        <f>COUNTIFS('Classification Matrix'!$D$2:$D$307,"X",'Classification Matrix'!$G$2:$G$307,D$4)+COUNTIFS('Classification Matrix'!$D$2:$D$307,"X",'Classification Matrix'!$H$2:$H$307,D$4)+COUNTIFS('Classification Matrix'!$D$2:$D$307,"X",'Classification Matrix'!$I$2:$I$307,D$4)</f>
        <v/>
      </c>
      <c r="E28" s="14">
        <f>COUNTIFS('Classification Matrix'!$D$2:$D$307,"X",'Classification Matrix'!$G$2:$G$307,E$4)+COUNTIFS('Classification Matrix'!$D$2:$D$307,"X",'Classification Matrix'!$H$2:$H$307,E$4)+COUNTIFS('Classification Matrix'!$D$2:$D$307,"X",'Classification Matrix'!$I$2:$I$307,E$4)</f>
        <v/>
      </c>
      <c r="F28" s="14">
        <f>COUNTIFS('Classification Matrix'!$D$2:$D$307,"X",'Classification Matrix'!$G$2:$G$307,F$4)+COUNTIFS('Classification Matrix'!$D$2:$D$307,"X",'Classification Matrix'!$H$2:$H$307,F$4)+COUNTIFS('Classification Matrix'!$D$2:$D$307,"X",'Classification Matrix'!$I$2:$I$307,F$4)</f>
        <v/>
      </c>
      <c r="G28" s="14">
        <f>COUNTIFS('Classification Matrix'!$D$2:$D$307,"X",'Classification Matrix'!$G$2:$G$307,G$4)+COUNTIFS('Classification Matrix'!$D$2:$D$307,"X",'Classification Matrix'!$H$2:$H$307,G$4)+COUNTIFS('Classification Matrix'!$D$2:$D$307,"X",'Classification Matrix'!$I$2:$I$307,G$4)</f>
        <v/>
      </c>
      <c r="H28" s="14">
        <f>COUNTIFS('Classification Matrix'!$D$2:$D$307,"X",'Classification Matrix'!$G$2:$G$307,H$4)+COUNTIFS('Classification Matrix'!$D$2:$D$307,"X",'Classification Matrix'!$H$2:$H$307,H$4)+COUNTIFS('Classification Matrix'!$D$2:$D$307,"X",'Classification Matrix'!$I$2:$I$307,H$4)</f>
        <v/>
      </c>
      <c r="I28" s="14">
        <f>COUNTIFS('Classification Matrix'!$D$2:$D$307,"X",'Classification Matrix'!$G$2:$G$307,I$4)+COUNTIFS('Classification Matrix'!$D$2:$D$307,"X",'Classification Matrix'!$H$2:$H$307,I$4)+COUNTIFS('Classification Matrix'!$D$2:$D$307,"X",'Classification Matrix'!$I$2:$I$307,I$4)</f>
        <v/>
      </c>
      <c r="J28" s="14">
        <f>COUNTIFS('Classification Matrix'!$D$2:$D$307,"X",'Classification Matrix'!$G$2:$G$307,J$4)+COUNTIFS('Classification Matrix'!$D$2:$D$307,"X",'Classification Matrix'!$H$2:$H$307,J$4)+COUNTIFS('Classification Matrix'!$D$2:$D$307,"X",'Classification Matrix'!$I$2:$I$307,J$4)</f>
        <v/>
      </c>
      <c r="K28" s="14">
        <f>COUNTIFS('Classification Matrix'!$D$2:$D$307,"X",'Classification Matrix'!$G$2:$G$307,K$4)+COUNTIFS('Classification Matrix'!$D$2:$D$307,"X",'Classification Matrix'!$H$2:$H$307,K$4)+COUNTIFS('Classification Matrix'!$D$2:$D$307,"X",'Classification Matrix'!$I$2:$I$307,K$4)</f>
        <v/>
      </c>
      <c r="L28" s="14">
        <f>COUNTIFS('Classification Matrix'!$D$2:$D$307,"X",'Classification Matrix'!$G$2:$G$307,L$4)+COUNTIFS('Classification Matrix'!$D$2:$D$307,"X",'Classification Matrix'!$H$2:$H$307,L$4)+COUNTIFS('Classification Matrix'!$D$2:$D$307,"X",'Classification Matrix'!$I$2:$I$307,L$4)</f>
        <v/>
      </c>
      <c r="M28" s="14">
        <f>COUNTIF(C28:L28,"&gt;0")</f>
        <v/>
      </c>
    </row>
    <row r="29">
      <c r="A29" s="15" t="inlineStr">
        <is>
          <t>Y. Two-dimensional figures</t>
        </is>
      </c>
      <c r="B29" s="18">
        <f>COUNTIF('Classification Matrix'!$D$2:$D$307,"Y")</f>
        <v/>
      </c>
      <c r="C29" s="18">
        <f>COUNTIFS('Classification Matrix'!$D$2:$D$307,"Y",'Classification Matrix'!$G$2:$G$307,C$4)+COUNTIFS('Classification Matrix'!$D$2:$D$307,"Y",'Classification Matrix'!$H$2:$H$307,C$4)+COUNTIFS('Classification Matrix'!$D$2:$D$307,"Y",'Classification Matrix'!$I$2:$I$307,C$4)</f>
        <v/>
      </c>
      <c r="D29" s="18">
        <f>COUNTIFS('Classification Matrix'!$D$2:$D$307,"Y",'Classification Matrix'!$G$2:$G$307,D$4)+COUNTIFS('Classification Matrix'!$D$2:$D$307,"Y",'Classification Matrix'!$H$2:$H$307,D$4)+COUNTIFS('Classification Matrix'!$D$2:$D$307,"Y",'Classification Matrix'!$I$2:$I$307,D$4)</f>
        <v/>
      </c>
      <c r="E29" s="18">
        <f>COUNTIFS('Classification Matrix'!$D$2:$D$307,"Y",'Classification Matrix'!$G$2:$G$307,E$4)+COUNTIFS('Classification Matrix'!$D$2:$D$307,"Y",'Classification Matrix'!$H$2:$H$307,E$4)+COUNTIFS('Classification Matrix'!$D$2:$D$307,"Y",'Classification Matrix'!$I$2:$I$307,E$4)</f>
        <v/>
      </c>
      <c r="F29" s="18">
        <f>COUNTIFS('Classification Matrix'!$D$2:$D$307,"Y",'Classification Matrix'!$G$2:$G$307,F$4)+COUNTIFS('Classification Matrix'!$D$2:$D$307,"Y",'Classification Matrix'!$H$2:$H$307,F$4)+COUNTIFS('Classification Matrix'!$D$2:$D$307,"Y",'Classification Matrix'!$I$2:$I$307,F$4)</f>
        <v/>
      </c>
      <c r="G29" s="18">
        <f>COUNTIFS('Classification Matrix'!$D$2:$D$307,"Y",'Classification Matrix'!$G$2:$G$307,G$4)+COUNTIFS('Classification Matrix'!$D$2:$D$307,"Y",'Classification Matrix'!$H$2:$H$307,G$4)+COUNTIFS('Classification Matrix'!$D$2:$D$307,"Y",'Classification Matrix'!$I$2:$I$307,G$4)</f>
        <v/>
      </c>
      <c r="H29" s="18">
        <f>COUNTIFS('Classification Matrix'!$D$2:$D$307,"Y",'Classification Matrix'!$G$2:$G$307,H$4)+COUNTIFS('Classification Matrix'!$D$2:$D$307,"Y",'Classification Matrix'!$H$2:$H$307,H$4)+COUNTIFS('Classification Matrix'!$D$2:$D$307,"Y",'Classification Matrix'!$I$2:$I$307,H$4)</f>
        <v/>
      </c>
      <c r="I29" s="18">
        <f>COUNTIFS('Classification Matrix'!$D$2:$D$307,"Y",'Classification Matrix'!$G$2:$G$307,I$4)+COUNTIFS('Classification Matrix'!$D$2:$D$307,"Y",'Classification Matrix'!$H$2:$H$307,I$4)+COUNTIFS('Classification Matrix'!$D$2:$D$307,"Y",'Classification Matrix'!$I$2:$I$307,I$4)</f>
        <v/>
      </c>
      <c r="J29" s="18">
        <f>COUNTIFS('Classification Matrix'!$D$2:$D$307,"Y",'Classification Matrix'!$G$2:$G$307,J$4)+COUNTIFS('Classification Matrix'!$D$2:$D$307,"Y",'Classification Matrix'!$H$2:$H$307,J$4)+COUNTIFS('Classification Matrix'!$D$2:$D$307,"Y",'Classification Matrix'!$I$2:$I$307,J$4)</f>
        <v/>
      </c>
      <c r="K29" s="18">
        <f>COUNTIFS('Classification Matrix'!$D$2:$D$307,"Y",'Classification Matrix'!$G$2:$G$307,K$4)+COUNTIFS('Classification Matrix'!$D$2:$D$307,"Y",'Classification Matrix'!$H$2:$H$307,K$4)+COUNTIFS('Classification Matrix'!$D$2:$D$307,"Y",'Classification Matrix'!$I$2:$I$307,K$4)</f>
        <v/>
      </c>
      <c r="L29" s="18">
        <f>COUNTIFS('Classification Matrix'!$D$2:$D$307,"Y",'Classification Matrix'!$G$2:$G$307,L$4)+COUNTIFS('Classification Matrix'!$D$2:$D$307,"Y",'Classification Matrix'!$H$2:$H$307,L$4)+COUNTIFS('Classification Matrix'!$D$2:$D$307,"Y",'Classification Matrix'!$I$2:$I$307,L$4)</f>
        <v/>
      </c>
      <c r="M29" s="18">
        <f>COUNTIF(C29:L29,"&gt;0")</f>
        <v/>
      </c>
    </row>
    <row r="30">
      <c r="A30" s="15" t="inlineStr">
        <is>
          <t>Z. Three-dimensional figures</t>
        </is>
      </c>
      <c r="B30" s="14">
        <f>COUNTIF('Classification Matrix'!$D$2:$D$307,"Z")</f>
        <v/>
      </c>
      <c r="C30" s="14">
        <f>COUNTIFS('Classification Matrix'!$D$2:$D$307,"Z",'Classification Matrix'!$G$2:$G$307,C$4)+COUNTIFS('Classification Matrix'!$D$2:$D$307,"Z",'Classification Matrix'!$H$2:$H$307,C$4)+COUNTIFS('Classification Matrix'!$D$2:$D$307,"Z",'Classification Matrix'!$I$2:$I$307,C$4)</f>
        <v/>
      </c>
      <c r="D30" s="14">
        <f>COUNTIFS('Classification Matrix'!$D$2:$D$307,"Z",'Classification Matrix'!$G$2:$G$307,D$4)+COUNTIFS('Classification Matrix'!$D$2:$D$307,"Z",'Classification Matrix'!$H$2:$H$307,D$4)+COUNTIFS('Classification Matrix'!$D$2:$D$307,"Z",'Classification Matrix'!$I$2:$I$307,D$4)</f>
        <v/>
      </c>
      <c r="E30" s="14">
        <f>COUNTIFS('Classification Matrix'!$D$2:$D$307,"Z",'Classification Matrix'!$G$2:$G$307,E$4)+COUNTIFS('Classification Matrix'!$D$2:$D$307,"Z",'Classification Matrix'!$H$2:$H$307,E$4)+COUNTIFS('Classification Matrix'!$D$2:$D$307,"Z",'Classification Matrix'!$I$2:$I$307,E$4)</f>
        <v/>
      </c>
      <c r="F30" s="14">
        <f>COUNTIFS('Classification Matrix'!$D$2:$D$307,"Z",'Classification Matrix'!$G$2:$G$307,F$4)+COUNTIFS('Classification Matrix'!$D$2:$D$307,"Z",'Classification Matrix'!$H$2:$H$307,F$4)+COUNTIFS('Classification Matrix'!$D$2:$D$307,"Z",'Classification Matrix'!$I$2:$I$307,F$4)</f>
        <v/>
      </c>
      <c r="G30" s="14">
        <f>COUNTIFS('Classification Matrix'!$D$2:$D$307,"Z",'Classification Matrix'!$G$2:$G$307,G$4)+COUNTIFS('Classification Matrix'!$D$2:$D$307,"Z",'Classification Matrix'!$H$2:$H$307,G$4)+COUNTIFS('Classification Matrix'!$D$2:$D$307,"Z",'Classification Matrix'!$I$2:$I$307,G$4)</f>
        <v/>
      </c>
      <c r="H30" s="14">
        <f>COUNTIFS('Classification Matrix'!$D$2:$D$307,"Z",'Classification Matrix'!$G$2:$G$307,H$4)+COUNTIFS('Classification Matrix'!$D$2:$D$307,"Z",'Classification Matrix'!$H$2:$H$307,H$4)+COUNTIFS('Classification Matrix'!$D$2:$D$307,"Z",'Classification Matrix'!$I$2:$I$307,H$4)</f>
        <v/>
      </c>
      <c r="I30" s="14">
        <f>COUNTIFS('Classification Matrix'!$D$2:$D$307,"Z",'Classification Matrix'!$G$2:$G$307,I$4)+COUNTIFS('Classification Matrix'!$D$2:$D$307,"Z",'Classification Matrix'!$H$2:$H$307,I$4)+COUNTIFS('Classification Matrix'!$D$2:$D$307,"Z",'Classification Matrix'!$I$2:$I$307,I$4)</f>
        <v/>
      </c>
      <c r="J30" s="14">
        <f>COUNTIFS('Classification Matrix'!$D$2:$D$307,"Z",'Classification Matrix'!$G$2:$G$307,J$4)+COUNTIFS('Classification Matrix'!$D$2:$D$307,"Z",'Classification Matrix'!$H$2:$H$307,J$4)+COUNTIFS('Classification Matrix'!$D$2:$D$307,"Z",'Classification Matrix'!$I$2:$I$307,J$4)</f>
        <v/>
      </c>
      <c r="K30" s="14">
        <f>COUNTIFS('Classification Matrix'!$D$2:$D$307,"Z",'Classification Matrix'!$G$2:$G$307,K$4)+COUNTIFS('Classification Matrix'!$D$2:$D$307,"Z",'Classification Matrix'!$H$2:$H$307,K$4)+COUNTIFS('Classification Matrix'!$D$2:$D$307,"Z",'Classification Matrix'!$I$2:$I$307,K$4)</f>
        <v/>
      </c>
      <c r="L30" s="14">
        <f>COUNTIFS('Classification Matrix'!$D$2:$D$307,"Z",'Classification Matrix'!$G$2:$G$307,L$4)+COUNTIFS('Classification Matrix'!$D$2:$D$307,"Z",'Classification Matrix'!$H$2:$H$307,L$4)+COUNTIFS('Classification Matrix'!$D$2:$D$307,"Z",'Classification Matrix'!$I$2:$I$307,L$4)</f>
        <v/>
      </c>
      <c r="M30" s="14">
        <f>COUNTIF(C30:L30,"&gt;0")</f>
        <v/>
      </c>
    </row>
    <row r="31">
      <c r="A31" s="15" t="inlineStr">
        <is>
          <t>AA. Congruent figures</t>
        </is>
      </c>
      <c r="B31" s="18">
        <f>COUNTIF('Classification Matrix'!$D$2:$D$307,"AA")</f>
        <v/>
      </c>
      <c r="C31" s="18">
        <f>COUNTIFS('Classification Matrix'!$D$2:$D$307,"AA",'Classification Matrix'!$G$2:$G$307,C$4)+COUNTIFS('Classification Matrix'!$D$2:$D$307,"AA",'Classification Matrix'!$H$2:$H$307,C$4)+COUNTIFS('Classification Matrix'!$D$2:$D$307,"AA",'Classification Matrix'!$I$2:$I$307,C$4)</f>
        <v/>
      </c>
      <c r="D31" s="18">
        <f>COUNTIFS('Classification Matrix'!$D$2:$D$307,"AA",'Classification Matrix'!$G$2:$G$307,D$4)+COUNTIFS('Classification Matrix'!$D$2:$D$307,"AA",'Classification Matrix'!$H$2:$H$307,D$4)+COUNTIFS('Classification Matrix'!$D$2:$D$307,"AA",'Classification Matrix'!$I$2:$I$307,D$4)</f>
        <v/>
      </c>
      <c r="E31" s="18">
        <f>COUNTIFS('Classification Matrix'!$D$2:$D$307,"AA",'Classification Matrix'!$G$2:$G$307,E$4)+COUNTIFS('Classification Matrix'!$D$2:$D$307,"AA",'Classification Matrix'!$H$2:$H$307,E$4)+COUNTIFS('Classification Matrix'!$D$2:$D$307,"AA",'Classification Matrix'!$I$2:$I$307,E$4)</f>
        <v/>
      </c>
      <c r="F31" s="18">
        <f>COUNTIFS('Classification Matrix'!$D$2:$D$307,"AA",'Classification Matrix'!$G$2:$G$307,F$4)+COUNTIFS('Classification Matrix'!$D$2:$D$307,"AA",'Classification Matrix'!$H$2:$H$307,F$4)+COUNTIFS('Classification Matrix'!$D$2:$D$307,"AA",'Classification Matrix'!$I$2:$I$307,F$4)</f>
        <v/>
      </c>
      <c r="G31" s="18">
        <f>COUNTIFS('Classification Matrix'!$D$2:$D$307,"AA",'Classification Matrix'!$G$2:$G$307,G$4)+COUNTIFS('Classification Matrix'!$D$2:$D$307,"AA",'Classification Matrix'!$H$2:$H$307,G$4)+COUNTIFS('Classification Matrix'!$D$2:$D$307,"AA",'Classification Matrix'!$I$2:$I$307,G$4)</f>
        <v/>
      </c>
      <c r="H31" s="18">
        <f>COUNTIFS('Classification Matrix'!$D$2:$D$307,"AA",'Classification Matrix'!$G$2:$G$307,H$4)+COUNTIFS('Classification Matrix'!$D$2:$D$307,"AA",'Classification Matrix'!$H$2:$H$307,H$4)+COUNTIFS('Classification Matrix'!$D$2:$D$307,"AA",'Classification Matrix'!$I$2:$I$307,H$4)</f>
        <v/>
      </c>
      <c r="I31" s="18">
        <f>COUNTIFS('Classification Matrix'!$D$2:$D$307,"AA",'Classification Matrix'!$G$2:$G$307,I$4)+COUNTIFS('Classification Matrix'!$D$2:$D$307,"AA",'Classification Matrix'!$H$2:$H$307,I$4)+COUNTIFS('Classification Matrix'!$D$2:$D$307,"AA",'Classification Matrix'!$I$2:$I$307,I$4)</f>
        <v/>
      </c>
      <c r="J31" s="18">
        <f>COUNTIFS('Classification Matrix'!$D$2:$D$307,"AA",'Classification Matrix'!$G$2:$G$307,J$4)+COUNTIFS('Classification Matrix'!$D$2:$D$307,"AA",'Classification Matrix'!$H$2:$H$307,J$4)+COUNTIFS('Classification Matrix'!$D$2:$D$307,"AA",'Classification Matrix'!$I$2:$I$307,J$4)</f>
        <v/>
      </c>
      <c r="K31" s="18">
        <f>COUNTIFS('Classification Matrix'!$D$2:$D$307,"AA",'Classification Matrix'!$G$2:$G$307,K$4)+COUNTIFS('Classification Matrix'!$D$2:$D$307,"AA",'Classification Matrix'!$H$2:$H$307,K$4)+COUNTIFS('Classification Matrix'!$D$2:$D$307,"AA",'Classification Matrix'!$I$2:$I$307,K$4)</f>
        <v/>
      </c>
      <c r="L31" s="18">
        <f>COUNTIFS('Classification Matrix'!$D$2:$D$307,"AA",'Classification Matrix'!$G$2:$G$307,L$4)+COUNTIFS('Classification Matrix'!$D$2:$D$307,"AA",'Classification Matrix'!$H$2:$H$307,L$4)+COUNTIFS('Classification Matrix'!$D$2:$D$307,"AA",'Classification Matrix'!$I$2:$I$307,L$4)</f>
        <v/>
      </c>
      <c r="M31" s="18">
        <f>COUNTIF(C31:L31,"&gt;0")</f>
        <v/>
      </c>
    </row>
    <row r="32">
      <c r="A32" s="15" t="inlineStr">
        <is>
          <t>BB. Triangles</t>
        </is>
      </c>
      <c r="B32" s="14">
        <f>COUNTIF('Classification Matrix'!$D$2:$D$307,"BB")</f>
        <v/>
      </c>
      <c r="C32" s="14">
        <f>COUNTIFS('Classification Matrix'!$D$2:$D$307,"BB",'Classification Matrix'!$G$2:$G$307,C$4)+COUNTIFS('Classification Matrix'!$D$2:$D$307,"BB",'Classification Matrix'!$H$2:$H$307,C$4)+COUNTIFS('Classification Matrix'!$D$2:$D$307,"BB",'Classification Matrix'!$I$2:$I$307,C$4)</f>
        <v/>
      </c>
      <c r="D32" s="14">
        <f>COUNTIFS('Classification Matrix'!$D$2:$D$307,"BB",'Classification Matrix'!$G$2:$G$307,D$4)+COUNTIFS('Classification Matrix'!$D$2:$D$307,"BB",'Classification Matrix'!$H$2:$H$307,D$4)+COUNTIFS('Classification Matrix'!$D$2:$D$307,"BB",'Classification Matrix'!$I$2:$I$307,D$4)</f>
        <v/>
      </c>
      <c r="E32" s="14">
        <f>COUNTIFS('Classification Matrix'!$D$2:$D$307,"BB",'Classification Matrix'!$G$2:$G$307,E$4)+COUNTIFS('Classification Matrix'!$D$2:$D$307,"BB",'Classification Matrix'!$H$2:$H$307,E$4)+COUNTIFS('Classification Matrix'!$D$2:$D$307,"BB",'Classification Matrix'!$I$2:$I$307,E$4)</f>
        <v/>
      </c>
      <c r="F32" s="14">
        <f>COUNTIFS('Classification Matrix'!$D$2:$D$307,"BB",'Classification Matrix'!$G$2:$G$307,F$4)+COUNTIFS('Classification Matrix'!$D$2:$D$307,"BB",'Classification Matrix'!$H$2:$H$307,F$4)+COUNTIFS('Classification Matrix'!$D$2:$D$307,"BB",'Classification Matrix'!$I$2:$I$307,F$4)</f>
        <v/>
      </c>
      <c r="G32" s="14">
        <f>COUNTIFS('Classification Matrix'!$D$2:$D$307,"BB",'Classification Matrix'!$G$2:$G$307,G$4)+COUNTIFS('Classification Matrix'!$D$2:$D$307,"BB",'Classification Matrix'!$H$2:$H$307,G$4)+COUNTIFS('Classification Matrix'!$D$2:$D$307,"BB",'Classification Matrix'!$I$2:$I$307,G$4)</f>
        <v/>
      </c>
      <c r="H32" s="14">
        <f>COUNTIFS('Classification Matrix'!$D$2:$D$307,"BB",'Classification Matrix'!$G$2:$G$307,H$4)+COUNTIFS('Classification Matrix'!$D$2:$D$307,"BB",'Classification Matrix'!$H$2:$H$307,H$4)+COUNTIFS('Classification Matrix'!$D$2:$D$307,"BB",'Classification Matrix'!$I$2:$I$307,H$4)</f>
        <v/>
      </c>
      <c r="I32" s="14">
        <f>COUNTIFS('Classification Matrix'!$D$2:$D$307,"BB",'Classification Matrix'!$G$2:$G$307,I$4)+COUNTIFS('Classification Matrix'!$D$2:$D$307,"BB",'Classification Matrix'!$H$2:$H$307,I$4)+COUNTIFS('Classification Matrix'!$D$2:$D$307,"BB",'Classification Matrix'!$I$2:$I$307,I$4)</f>
        <v/>
      </c>
      <c r="J32" s="14">
        <f>COUNTIFS('Classification Matrix'!$D$2:$D$307,"BB",'Classification Matrix'!$G$2:$G$307,J$4)+COUNTIFS('Classification Matrix'!$D$2:$D$307,"BB",'Classification Matrix'!$H$2:$H$307,J$4)+COUNTIFS('Classification Matrix'!$D$2:$D$307,"BB",'Classification Matrix'!$I$2:$I$307,J$4)</f>
        <v/>
      </c>
      <c r="K32" s="14">
        <f>COUNTIFS('Classification Matrix'!$D$2:$D$307,"BB",'Classification Matrix'!$G$2:$G$307,K$4)+COUNTIFS('Classification Matrix'!$D$2:$D$307,"BB",'Classification Matrix'!$H$2:$H$307,K$4)+COUNTIFS('Classification Matrix'!$D$2:$D$307,"BB",'Classification Matrix'!$I$2:$I$307,K$4)</f>
        <v/>
      </c>
      <c r="L32" s="14">
        <f>COUNTIFS('Classification Matrix'!$D$2:$D$307,"BB",'Classification Matrix'!$G$2:$G$307,L$4)+COUNTIFS('Classification Matrix'!$D$2:$D$307,"BB",'Classification Matrix'!$H$2:$H$307,L$4)+COUNTIFS('Classification Matrix'!$D$2:$D$307,"BB",'Classification Matrix'!$I$2:$I$307,L$4)</f>
        <v/>
      </c>
      <c r="M32" s="14">
        <f>COUNTIF(C32:L32,"&gt;0")</f>
        <v/>
      </c>
    </row>
    <row r="33">
      <c r="A33" s="15" t="inlineStr">
        <is>
          <t>CC. Similarity</t>
        </is>
      </c>
      <c r="B33" s="18">
        <f>COUNTIF('Classification Matrix'!$D$2:$D$307,"CC")</f>
        <v/>
      </c>
      <c r="C33" s="18">
        <f>COUNTIFS('Classification Matrix'!$D$2:$D$307,"CC",'Classification Matrix'!$G$2:$G$307,C$4)+COUNTIFS('Classification Matrix'!$D$2:$D$307,"CC",'Classification Matrix'!$H$2:$H$307,C$4)+COUNTIFS('Classification Matrix'!$D$2:$D$307,"CC",'Classification Matrix'!$I$2:$I$307,C$4)</f>
        <v/>
      </c>
      <c r="D33" s="18">
        <f>COUNTIFS('Classification Matrix'!$D$2:$D$307,"CC",'Classification Matrix'!$G$2:$G$307,D$4)+COUNTIFS('Classification Matrix'!$D$2:$D$307,"CC",'Classification Matrix'!$H$2:$H$307,D$4)+COUNTIFS('Classification Matrix'!$D$2:$D$307,"CC",'Classification Matrix'!$I$2:$I$307,D$4)</f>
        <v/>
      </c>
      <c r="E33" s="18">
        <f>COUNTIFS('Classification Matrix'!$D$2:$D$307,"CC",'Classification Matrix'!$G$2:$G$307,E$4)+COUNTIFS('Classification Matrix'!$D$2:$D$307,"CC",'Classification Matrix'!$H$2:$H$307,E$4)+COUNTIFS('Classification Matrix'!$D$2:$D$307,"CC",'Classification Matrix'!$I$2:$I$307,E$4)</f>
        <v/>
      </c>
      <c r="F33" s="18">
        <f>COUNTIFS('Classification Matrix'!$D$2:$D$307,"CC",'Classification Matrix'!$G$2:$G$307,F$4)+COUNTIFS('Classification Matrix'!$D$2:$D$307,"CC",'Classification Matrix'!$H$2:$H$307,F$4)+COUNTIFS('Classification Matrix'!$D$2:$D$307,"CC",'Classification Matrix'!$I$2:$I$307,F$4)</f>
        <v/>
      </c>
      <c r="G33" s="18">
        <f>COUNTIFS('Classification Matrix'!$D$2:$D$307,"CC",'Classification Matrix'!$G$2:$G$307,G$4)+COUNTIFS('Classification Matrix'!$D$2:$D$307,"CC",'Classification Matrix'!$H$2:$H$307,G$4)+COUNTIFS('Classification Matrix'!$D$2:$D$307,"CC",'Classification Matrix'!$I$2:$I$307,G$4)</f>
        <v/>
      </c>
      <c r="H33" s="18">
        <f>COUNTIFS('Classification Matrix'!$D$2:$D$307,"CC",'Classification Matrix'!$G$2:$G$307,H$4)+COUNTIFS('Classification Matrix'!$D$2:$D$307,"CC",'Classification Matrix'!$H$2:$H$307,H$4)+COUNTIFS('Classification Matrix'!$D$2:$D$307,"CC",'Classification Matrix'!$I$2:$I$307,H$4)</f>
        <v/>
      </c>
      <c r="I33" s="18">
        <f>COUNTIFS('Classification Matrix'!$D$2:$D$307,"CC",'Classification Matrix'!$G$2:$G$307,I$4)+COUNTIFS('Classification Matrix'!$D$2:$D$307,"CC",'Classification Matrix'!$H$2:$H$307,I$4)+COUNTIFS('Classification Matrix'!$D$2:$D$307,"CC",'Classification Matrix'!$I$2:$I$307,I$4)</f>
        <v/>
      </c>
      <c r="J33" s="18">
        <f>COUNTIFS('Classification Matrix'!$D$2:$D$307,"CC",'Classification Matrix'!$G$2:$G$307,J$4)+COUNTIFS('Classification Matrix'!$D$2:$D$307,"CC",'Classification Matrix'!$H$2:$H$307,J$4)+COUNTIFS('Classification Matrix'!$D$2:$D$307,"CC",'Classification Matrix'!$I$2:$I$307,J$4)</f>
        <v/>
      </c>
      <c r="K33" s="18">
        <f>COUNTIFS('Classification Matrix'!$D$2:$D$307,"CC",'Classification Matrix'!$G$2:$G$307,K$4)+COUNTIFS('Classification Matrix'!$D$2:$D$307,"CC",'Classification Matrix'!$H$2:$H$307,K$4)+COUNTIFS('Classification Matrix'!$D$2:$D$307,"CC",'Classification Matrix'!$I$2:$I$307,K$4)</f>
        <v/>
      </c>
      <c r="L33" s="18">
        <f>COUNTIFS('Classification Matrix'!$D$2:$D$307,"CC",'Classification Matrix'!$G$2:$G$307,L$4)+COUNTIFS('Classification Matrix'!$D$2:$D$307,"CC",'Classification Matrix'!$H$2:$H$307,L$4)+COUNTIFS('Classification Matrix'!$D$2:$D$307,"CC",'Classification Matrix'!$I$2:$I$307,L$4)</f>
        <v/>
      </c>
      <c r="M33" s="18">
        <f>COUNTIF(C33:L33,"&gt;0")</f>
        <v/>
      </c>
    </row>
    <row r="34">
      <c r="A34" s="15" t="inlineStr">
        <is>
          <t>DD. Right triangles</t>
        </is>
      </c>
      <c r="B34" s="14">
        <f>COUNTIF('Classification Matrix'!$D$2:$D$307,"DD")</f>
        <v/>
      </c>
      <c r="C34" s="14">
        <f>COUNTIFS('Classification Matrix'!$D$2:$D$307,"DD",'Classification Matrix'!$G$2:$G$307,C$4)+COUNTIFS('Classification Matrix'!$D$2:$D$307,"DD",'Classification Matrix'!$H$2:$H$307,C$4)+COUNTIFS('Classification Matrix'!$D$2:$D$307,"DD",'Classification Matrix'!$I$2:$I$307,C$4)</f>
        <v/>
      </c>
      <c r="D34" s="14">
        <f>COUNTIFS('Classification Matrix'!$D$2:$D$307,"DD",'Classification Matrix'!$G$2:$G$307,D$4)+COUNTIFS('Classification Matrix'!$D$2:$D$307,"DD",'Classification Matrix'!$H$2:$H$307,D$4)+COUNTIFS('Classification Matrix'!$D$2:$D$307,"DD",'Classification Matrix'!$I$2:$I$307,D$4)</f>
        <v/>
      </c>
      <c r="E34" s="14">
        <f>COUNTIFS('Classification Matrix'!$D$2:$D$307,"DD",'Classification Matrix'!$G$2:$G$307,E$4)+COUNTIFS('Classification Matrix'!$D$2:$D$307,"DD",'Classification Matrix'!$H$2:$H$307,E$4)+COUNTIFS('Classification Matrix'!$D$2:$D$307,"DD",'Classification Matrix'!$I$2:$I$307,E$4)</f>
        <v/>
      </c>
      <c r="F34" s="14">
        <f>COUNTIFS('Classification Matrix'!$D$2:$D$307,"DD",'Classification Matrix'!$G$2:$G$307,F$4)+COUNTIFS('Classification Matrix'!$D$2:$D$307,"DD",'Classification Matrix'!$H$2:$H$307,F$4)+COUNTIFS('Classification Matrix'!$D$2:$D$307,"DD",'Classification Matrix'!$I$2:$I$307,F$4)</f>
        <v/>
      </c>
      <c r="G34" s="14">
        <f>COUNTIFS('Classification Matrix'!$D$2:$D$307,"DD",'Classification Matrix'!$G$2:$G$307,G$4)+COUNTIFS('Classification Matrix'!$D$2:$D$307,"DD",'Classification Matrix'!$H$2:$H$307,G$4)+COUNTIFS('Classification Matrix'!$D$2:$D$307,"DD",'Classification Matrix'!$I$2:$I$307,G$4)</f>
        <v/>
      </c>
      <c r="H34" s="14">
        <f>COUNTIFS('Classification Matrix'!$D$2:$D$307,"DD",'Classification Matrix'!$G$2:$G$307,H$4)+COUNTIFS('Classification Matrix'!$D$2:$D$307,"DD",'Classification Matrix'!$H$2:$H$307,H$4)+COUNTIFS('Classification Matrix'!$D$2:$D$307,"DD",'Classification Matrix'!$I$2:$I$307,H$4)</f>
        <v/>
      </c>
      <c r="I34" s="14">
        <f>COUNTIFS('Classification Matrix'!$D$2:$D$307,"DD",'Classification Matrix'!$G$2:$G$307,I$4)+COUNTIFS('Classification Matrix'!$D$2:$D$307,"DD",'Classification Matrix'!$H$2:$H$307,I$4)+COUNTIFS('Classification Matrix'!$D$2:$D$307,"DD",'Classification Matrix'!$I$2:$I$307,I$4)</f>
        <v/>
      </c>
      <c r="J34" s="14">
        <f>COUNTIFS('Classification Matrix'!$D$2:$D$307,"DD",'Classification Matrix'!$G$2:$G$307,J$4)+COUNTIFS('Classification Matrix'!$D$2:$D$307,"DD",'Classification Matrix'!$H$2:$H$307,J$4)+COUNTIFS('Classification Matrix'!$D$2:$D$307,"DD",'Classification Matrix'!$I$2:$I$307,J$4)</f>
        <v/>
      </c>
      <c r="K34" s="14">
        <f>COUNTIFS('Classification Matrix'!$D$2:$D$307,"DD",'Classification Matrix'!$G$2:$G$307,K$4)+COUNTIFS('Classification Matrix'!$D$2:$D$307,"DD",'Classification Matrix'!$H$2:$H$307,K$4)+COUNTIFS('Classification Matrix'!$D$2:$D$307,"DD",'Classification Matrix'!$I$2:$I$307,K$4)</f>
        <v/>
      </c>
      <c r="L34" s="14">
        <f>COUNTIFS('Classification Matrix'!$D$2:$D$307,"DD",'Classification Matrix'!$G$2:$G$307,L$4)+COUNTIFS('Classification Matrix'!$D$2:$D$307,"DD",'Classification Matrix'!$H$2:$H$307,L$4)+COUNTIFS('Classification Matrix'!$D$2:$D$307,"DD",'Classification Matrix'!$I$2:$I$307,L$4)</f>
        <v/>
      </c>
      <c r="M34" s="14">
        <f>COUNTIF(C34:L34,"&gt;0")</f>
        <v/>
      </c>
    </row>
    <row r="35">
      <c r="A35" s="15" t="inlineStr">
        <is>
          <t>EE. Trigonometry</t>
        </is>
      </c>
      <c r="B35" s="18">
        <f>COUNTIF('Classification Matrix'!$D$2:$D$307,"EE")</f>
        <v/>
      </c>
      <c r="C35" s="18">
        <f>COUNTIFS('Classification Matrix'!$D$2:$D$307,"EE",'Classification Matrix'!$G$2:$G$307,C$4)+COUNTIFS('Classification Matrix'!$D$2:$D$307,"EE",'Classification Matrix'!$H$2:$H$307,C$4)+COUNTIFS('Classification Matrix'!$D$2:$D$307,"EE",'Classification Matrix'!$I$2:$I$307,C$4)</f>
        <v/>
      </c>
      <c r="D35" s="18">
        <f>COUNTIFS('Classification Matrix'!$D$2:$D$307,"EE",'Classification Matrix'!$G$2:$G$307,D$4)+COUNTIFS('Classification Matrix'!$D$2:$D$307,"EE",'Classification Matrix'!$H$2:$H$307,D$4)+COUNTIFS('Classification Matrix'!$D$2:$D$307,"EE",'Classification Matrix'!$I$2:$I$307,D$4)</f>
        <v/>
      </c>
      <c r="E35" s="18">
        <f>COUNTIFS('Classification Matrix'!$D$2:$D$307,"EE",'Classification Matrix'!$G$2:$G$307,E$4)+COUNTIFS('Classification Matrix'!$D$2:$D$307,"EE",'Classification Matrix'!$H$2:$H$307,E$4)+COUNTIFS('Classification Matrix'!$D$2:$D$307,"EE",'Classification Matrix'!$I$2:$I$307,E$4)</f>
        <v/>
      </c>
      <c r="F35" s="18">
        <f>COUNTIFS('Classification Matrix'!$D$2:$D$307,"EE",'Classification Matrix'!$G$2:$G$307,F$4)+COUNTIFS('Classification Matrix'!$D$2:$D$307,"EE",'Classification Matrix'!$H$2:$H$307,F$4)+COUNTIFS('Classification Matrix'!$D$2:$D$307,"EE",'Classification Matrix'!$I$2:$I$307,F$4)</f>
        <v/>
      </c>
      <c r="G35" s="18">
        <f>COUNTIFS('Classification Matrix'!$D$2:$D$307,"EE",'Classification Matrix'!$G$2:$G$307,G$4)+COUNTIFS('Classification Matrix'!$D$2:$D$307,"EE",'Classification Matrix'!$H$2:$H$307,G$4)+COUNTIFS('Classification Matrix'!$D$2:$D$307,"EE",'Classification Matrix'!$I$2:$I$307,G$4)</f>
        <v/>
      </c>
      <c r="H35" s="18">
        <f>COUNTIFS('Classification Matrix'!$D$2:$D$307,"EE",'Classification Matrix'!$G$2:$G$307,H$4)+COUNTIFS('Classification Matrix'!$D$2:$D$307,"EE",'Classification Matrix'!$H$2:$H$307,H$4)+COUNTIFS('Classification Matrix'!$D$2:$D$307,"EE",'Classification Matrix'!$I$2:$I$307,H$4)</f>
        <v/>
      </c>
      <c r="I35" s="18">
        <f>COUNTIFS('Classification Matrix'!$D$2:$D$307,"EE",'Classification Matrix'!$G$2:$G$307,I$4)+COUNTIFS('Classification Matrix'!$D$2:$D$307,"EE",'Classification Matrix'!$H$2:$H$307,I$4)+COUNTIFS('Classification Matrix'!$D$2:$D$307,"EE",'Classification Matrix'!$I$2:$I$307,I$4)</f>
        <v/>
      </c>
      <c r="J35" s="18">
        <f>COUNTIFS('Classification Matrix'!$D$2:$D$307,"EE",'Classification Matrix'!$G$2:$G$307,J$4)+COUNTIFS('Classification Matrix'!$D$2:$D$307,"EE",'Classification Matrix'!$H$2:$H$307,J$4)+COUNTIFS('Classification Matrix'!$D$2:$D$307,"EE",'Classification Matrix'!$I$2:$I$307,J$4)</f>
        <v/>
      </c>
      <c r="K35" s="18">
        <f>COUNTIFS('Classification Matrix'!$D$2:$D$307,"EE",'Classification Matrix'!$G$2:$G$307,K$4)+COUNTIFS('Classification Matrix'!$D$2:$D$307,"EE",'Classification Matrix'!$H$2:$H$307,K$4)+COUNTIFS('Classification Matrix'!$D$2:$D$307,"EE",'Classification Matrix'!$I$2:$I$307,K$4)</f>
        <v/>
      </c>
      <c r="L35" s="18">
        <f>COUNTIFS('Classification Matrix'!$D$2:$D$307,"EE",'Classification Matrix'!$G$2:$G$307,L$4)+COUNTIFS('Classification Matrix'!$D$2:$D$307,"EE",'Classification Matrix'!$H$2:$H$307,L$4)+COUNTIFS('Classification Matrix'!$D$2:$D$307,"EE",'Classification Matrix'!$I$2:$I$307,L$4)</f>
        <v/>
      </c>
      <c r="M35" s="18">
        <f>COUNTIF(C35:L35,"&gt;0")</f>
        <v/>
      </c>
    </row>
    <row r="36">
      <c r="A36" s="15" t="inlineStr">
        <is>
          <t>FF. Transformations</t>
        </is>
      </c>
      <c r="B36" s="14">
        <f>COUNTIF('Classification Matrix'!$D$2:$D$307,"FF")</f>
        <v/>
      </c>
      <c r="C36" s="14">
        <f>COUNTIFS('Classification Matrix'!$D$2:$D$307,"FF",'Classification Matrix'!$G$2:$G$307,C$4)+COUNTIFS('Classification Matrix'!$D$2:$D$307,"FF",'Classification Matrix'!$H$2:$H$307,C$4)+COUNTIFS('Classification Matrix'!$D$2:$D$307,"FF",'Classification Matrix'!$I$2:$I$307,C$4)</f>
        <v/>
      </c>
      <c r="D36" s="14">
        <f>COUNTIFS('Classification Matrix'!$D$2:$D$307,"FF",'Classification Matrix'!$G$2:$G$307,D$4)+COUNTIFS('Classification Matrix'!$D$2:$D$307,"FF",'Classification Matrix'!$H$2:$H$307,D$4)+COUNTIFS('Classification Matrix'!$D$2:$D$307,"FF",'Classification Matrix'!$I$2:$I$307,D$4)</f>
        <v/>
      </c>
      <c r="E36" s="14">
        <f>COUNTIFS('Classification Matrix'!$D$2:$D$307,"FF",'Classification Matrix'!$G$2:$G$307,E$4)+COUNTIFS('Classification Matrix'!$D$2:$D$307,"FF",'Classification Matrix'!$H$2:$H$307,E$4)+COUNTIFS('Classification Matrix'!$D$2:$D$307,"FF",'Classification Matrix'!$I$2:$I$307,E$4)</f>
        <v/>
      </c>
      <c r="F36" s="14">
        <f>COUNTIFS('Classification Matrix'!$D$2:$D$307,"FF",'Classification Matrix'!$G$2:$G$307,F$4)+COUNTIFS('Classification Matrix'!$D$2:$D$307,"FF",'Classification Matrix'!$H$2:$H$307,F$4)+COUNTIFS('Classification Matrix'!$D$2:$D$307,"FF",'Classification Matrix'!$I$2:$I$307,F$4)</f>
        <v/>
      </c>
      <c r="G36" s="14">
        <f>COUNTIFS('Classification Matrix'!$D$2:$D$307,"FF",'Classification Matrix'!$G$2:$G$307,G$4)+COUNTIFS('Classification Matrix'!$D$2:$D$307,"FF",'Classification Matrix'!$H$2:$H$307,G$4)+COUNTIFS('Classification Matrix'!$D$2:$D$307,"FF",'Classification Matrix'!$I$2:$I$307,G$4)</f>
        <v/>
      </c>
      <c r="H36" s="14">
        <f>COUNTIFS('Classification Matrix'!$D$2:$D$307,"FF",'Classification Matrix'!$G$2:$G$307,H$4)+COUNTIFS('Classification Matrix'!$D$2:$D$307,"FF",'Classification Matrix'!$H$2:$H$307,H$4)+COUNTIFS('Classification Matrix'!$D$2:$D$307,"FF",'Classification Matrix'!$I$2:$I$307,H$4)</f>
        <v/>
      </c>
      <c r="I36" s="14">
        <f>COUNTIFS('Classification Matrix'!$D$2:$D$307,"FF",'Classification Matrix'!$G$2:$G$307,I$4)+COUNTIFS('Classification Matrix'!$D$2:$D$307,"FF",'Classification Matrix'!$H$2:$H$307,I$4)+COUNTIFS('Classification Matrix'!$D$2:$D$307,"FF",'Classification Matrix'!$I$2:$I$307,I$4)</f>
        <v/>
      </c>
      <c r="J36" s="14">
        <f>COUNTIFS('Classification Matrix'!$D$2:$D$307,"FF",'Classification Matrix'!$G$2:$G$307,J$4)+COUNTIFS('Classification Matrix'!$D$2:$D$307,"FF",'Classification Matrix'!$H$2:$H$307,J$4)+COUNTIFS('Classification Matrix'!$D$2:$D$307,"FF",'Classification Matrix'!$I$2:$I$307,J$4)</f>
        <v/>
      </c>
      <c r="K36" s="14">
        <f>COUNTIFS('Classification Matrix'!$D$2:$D$307,"FF",'Classification Matrix'!$G$2:$G$307,K$4)+COUNTIFS('Classification Matrix'!$D$2:$D$307,"FF",'Classification Matrix'!$H$2:$H$307,K$4)+COUNTIFS('Classification Matrix'!$D$2:$D$307,"FF",'Classification Matrix'!$I$2:$I$307,K$4)</f>
        <v/>
      </c>
      <c r="L36" s="14">
        <f>COUNTIFS('Classification Matrix'!$D$2:$D$307,"FF",'Classification Matrix'!$G$2:$G$307,L$4)+COUNTIFS('Classification Matrix'!$D$2:$D$307,"FF",'Classification Matrix'!$H$2:$H$307,L$4)+COUNTIFS('Classification Matrix'!$D$2:$D$307,"FF",'Classification Matrix'!$I$2:$I$307,L$4)</f>
        <v/>
      </c>
      <c r="M36" s="14">
        <f>COUNTIF(C36:L36,"&gt;0")</f>
        <v/>
      </c>
    </row>
    <row r="37">
      <c r="A37" s="15" t="inlineStr">
        <is>
          <t>GG. Probability</t>
        </is>
      </c>
      <c r="B37" s="18">
        <f>COUNTIF('Classification Matrix'!$D$2:$D$307,"GG")</f>
        <v/>
      </c>
      <c r="C37" s="18">
        <f>COUNTIFS('Classification Matrix'!$D$2:$D$307,"GG",'Classification Matrix'!$G$2:$G$307,C$4)+COUNTIFS('Classification Matrix'!$D$2:$D$307,"GG",'Classification Matrix'!$H$2:$H$307,C$4)+COUNTIFS('Classification Matrix'!$D$2:$D$307,"GG",'Classification Matrix'!$I$2:$I$307,C$4)</f>
        <v/>
      </c>
      <c r="D37" s="18">
        <f>COUNTIFS('Classification Matrix'!$D$2:$D$307,"GG",'Classification Matrix'!$G$2:$G$307,D$4)+COUNTIFS('Classification Matrix'!$D$2:$D$307,"GG",'Classification Matrix'!$H$2:$H$307,D$4)+COUNTIFS('Classification Matrix'!$D$2:$D$307,"GG",'Classification Matrix'!$I$2:$I$307,D$4)</f>
        <v/>
      </c>
      <c r="E37" s="18">
        <f>COUNTIFS('Classification Matrix'!$D$2:$D$307,"GG",'Classification Matrix'!$G$2:$G$307,E$4)+COUNTIFS('Classification Matrix'!$D$2:$D$307,"GG",'Classification Matrix'!$H$2:$H$307,E$4)+COUNTIFS('Classification Matrix'!$D$2:$D$307,"GG",'Classification Matrix'!$I$2:$I$307,E$4)</f>
        <v/>
      </c>
      <c r="F37" s="18">
        <f>COUNTIFS('Classification Matrix'!$D$2:$D$307,"GG",'Classification Matrix'!$G$2:$G$307,F$4)+COUNTIFS('Classification Matrix'!$D$2:$D$307,"GG",'Classification Matrix'!$H$2:$H$307,F$4)+COUNTIFS('Classification Matrix'!$D$2:$D$307,"GG",'Classification Matrix'!$I$2:$I$307,F$4)</f>
        <v/>
      </c>
      <c r="G37" s="18">
        <f>COUNTIFS('Classification Matrix'!$D$2:$D$307,"GG",'Classification Matrix'!$G$2:$G$307,G$4)+COUNTIFS('Classification Matrix'!$D$2:$D$307,"GG",'Classification Matrix'!$H$2:$H$307,G$4)+COUNTIFS('Classification Matrix'!$D$2:$D$307,"GG",'Classification Matrix'!$I$2:$I$307,G$4)</f>
        <v/>
      </c>
      <c r="H37" s="18">
        <f>COUNTIFS('Classification Matrix'!$D$2:$D$307,"GG",'Classification Matrix'!$G$2:$G$307,H$4)+COUNTIFS('Classification Matrix'!$D$2:$D$307,"GG",'Classification Matrix'!$H$2:$H$307,H$4)+COUNTIFS('Classification Matrix'!$D$2:$D$307,"GG",'Classification Matrix'!$I$2:$I$307,H$4)</f>
        <v/>
      </c>
      <c r="I37" s="18">
        <f>COUNTIFS('Classification Matrix'!$D$2:$D$307,"GG",'Classification Matrix'!$G$2:$G$307,I$4)+COUNTIFS('Classification Matrix'!$D$2:$D$307,"GG",'Classification Matrix'!$H$2:$H$307,I$4)+COUNTIFS('Classification Matrix'!$D$2:$D$307,"GG",'Classification Matrix'!$I$2:$I$307,I$4)</f>
        <v/>
      </c>
      <c r="J37" s="18">
        <f>COUNTIFS('Classification Matrix'!$D$2:$D$307,"GG",'Classification Matrix'!$G$2:$G$307,J$4)+COUNTIFS('Classification Matrix'!$D$2:$D$307,"GG",'Classification Matrix'!$H$2:$H$307,J$4)+COUNTIFS('Classification Matrix'!$D$2:$D$307,"GG",'Classification Matrix'!$I$2:$I$307,J$4)</f>
        <v/>
      </c>
      <c r="K37" s="18">
        <f>COUNTIFS('Classification Matrix'!$D$2:$D$307,"GG",'Classification Matrix'!$G$2:$G$307,K$4)+COUNTIFS('Classification Matrix'!$D$2:$D$307,"GG",'Classification Matrix'!$H$2:$H$307,K$4)+COUNTIFS('Classification Matrix'!$D$2:$D$307,"GG",'Classification Matrix'!$I$2:$I$307,K$4)</f>
        <v/>
      </c>
      <c r="L37" s="18">
        <f>COUNTIFS('Classification Matrix'!$D$2:$D$307,"GG",'Classification Matrix'!$G$2:$G$307,L$4)+COUNTIFS('Classification Matrix'!$D$2:$D$307,"GG",'Classification Matrix'!$H$2:$H$307,L$4)+COUNTIFS('Classification Matrix'!$D$2:$D$307,"GG",'Classification Matrix'!$I$2:$I$307,L$4)</f>
        <v/>
      </c>
      <c r="M37" s="18">
        <f>COUNTIF(C37:L37,"&gt;0")</f>
        <v/>
      </c>
    </row>
    <row r="38">
      <c r="A38" s="15" t="inlineStr">
        <is>
          <t>HH. Statistics</t>
        </is>
      </c>
      <c r="B38" s="14">
        <f>COUNTIF('Classification Matrix'!$D$2:$D$307,"HH")</f>
        <v/>
      </c>
      <c r="C38" s="14">
        <f>COUNTIFS('Classification Matrix'!$D$2:$D$307,"HH",'Classification Matrix'!$G$2:$G$307,C$4)+COUNTIFS('Classification Matrix'!$D$2:$D$307,"HH",'Classification Matrix'!$H$2:$H$307,C$4)+COUNTIFS('Classification Matrix'!$D$2:$D$307,"HH",'Classification Matrix'!$I$2:$I$307,C$4)</f>
        <v/>
      </c>
      <c r="D38" s="14">
        <f>COUNTIFS('Classification Matrix'!$D$2:$D$307,"HH",'Classification Matrix'!$G$2:$G$307,D$4)+COUNTIFS('Classification Matrix'!$D$2:$D$307,"HH",'Classification Matrix'!$H$2:$H$307,D$4)+COUNTIFS('Classification Matrix'!$D$2:$D$307,"HH",'Classification Matrix'!$I$2:$I$307,D$4)</f>
        <v/>
      </c>
      <c r="E38" s="14">
        <f>COUNTIFS('Classification Matrix'!$D$2:$D$307,"HH",'Classification Matrix'!$G$2:$G$307,E$4)+COUNTIFS('Classification Matrix'!$D$2:$D$307,"HH",'Classification Matrix'!$H$2:$H$307,E$4)+COUNTIFS('Classification Matrix'!$D$2:$D$307,"HH",'Classification Matrix'!$I$2:$I$307,E$4)</f>
        <v/>
      </c>
      <c r="F38" s="14">
        <f>COUNTIFS('Classification Matrix'!$D$2:$D$307,"HH",'Classification Matrix'!$G$2:$G$307,F$4)+COUNTIFS('Classification Matrix'!$D$2:$D$307,"HH",'Classification Matrix'!$H$2:$H$307,F$4)+COUNTIFS('Classification Matrix'!$D$2:$D$307,"HH",'Classification Matrix'!$I$2:$I$307,F$4)</f>
        <v/>
      </c>
      <c r="G38" s="14">
        <f>COUNTIFS('Classification Matrix'!$D$2:$D$307,"HH",'Classification Matrix'!$G$2:$G$307,G$4)+COUNTIFS('Classification Matrix'!$D$2:$D$307,"HH",'Classification Matrix'!$H$2:$H$307,G$4)+COUNTIFS('Classification Matrix'!$D$2:$D$307,"HH",'Classification Matrix'!$I$2:$I$307,G$4)</f>
        <v/>
      </c>
      <c r="H38" s="14">
        <f>COUNTIFS('Classification Matrix'!$D$2:$D$307,"HH",'Classification Matrix'!$G$2:$G$307,H$4)+COUNTIFS('Classification Matrix'!$D$2:$D$307,"HH",'Classification Matrix'!$H$2:$H$307,H$4)+COUNTIFS('Classification Matrix'!$D$2:$D$307,"HH",'Classification Matrix'!$I$2:$I$307,H$4)</f>
        <v/>
      </c>
      <c r="I38" s="14">
        <f>COUNTIFS('Classification Matrix'!$D$2:$D$307,"HH",'Classification Matrix'!$G$2:$G$307,I$4)+COUNTIFS('Classification Matrix'!$D$2:$D$307,"HH",'Classification Matrix'!$H$2:$H$307,I$4)+COUNTIFS('Classification Matrix'!$D$2:$D$307,"HH",'Classification Matrix'!$I$2:$I$307,I$4)</f>
        <v/>
      </c>
      <c r="J38" s="14">
        <f>COUNTIFS('Classification Matrix'!$D$2:$D$307,"HH",'Classification Matrix'!$G$2:$G$307,J$4)+COUNTIFS('Classification Matrix'!$D$2:$D$307,"HH",'Classification Matrix'!$H$2:$H$307,J$4)+COUNTIFS('Classification Matrix'!$D$2:$D$307,"HH",'Classification Matrix'!$I$2:$I$307,J$4)</f>
        <v/>
      </c>
      <c r="K38" s="14">
        <f>COUNTIFS('Classification Matrix'!$D$2:$D$307,"HH",'Classification Matrix'!$G$2:$G$307,K$4)+COUNTIFS('Classification Matrix'!$D$2:$D$307,"HH",'Classification Matrix'!$H$2:$H$307,K$4)+COUNTIFS('Classification Matrix'!$D$2:$D$307,"HH",'Classification Matrix'!$I$2:$I$307,K$4)</f>
        <v/>
      </c>
      <c r="L38" s="14">
        <f>COUNTIFS('Classification Matrix'!$D$2:$D$307,"HH",'Classification Matrix'!$G$2:$G$307,L$4)+COUNTIFS('Classification Matrix'!$D$2:$D$307,"HH",'Classification Matrix'!$H$2:$H$307,L$4)+COUNTIFS('Classification Matrix'!$D$2:$D$307,"HH",'Classification Matrix'!$I$2:$I$307,L$4)</f>
        <v/>
      </c>
      <c r="M38" s="14">
        <f>COUNTIF(C38:L38,"&gt;0")</f>
        <v/>
      </c>
    </row>
    <row r="39">
      <c r="A39" s="26" t="inlineStr">
        <is>
          <t>TOTAL</t>
        </is>
      </c>
      <c r="B39" s="27">
        <f>SUM(B5:B38)</f>
        <v/>
      </c>
      <c r="C39" s="27">
        <f>SUM(C5:C38)</f>
        <v/>
      </c>
      <c r="D39" s="27">
        <f>SUM(D5:D38)</f>
        <v/>
      </c>
      <c r="E39" s="27">
        <f>SUM(E5:E38)</f>
        <v/>
      </c>
      <c r="F39" s="27">
        <f>SUM(F5:F38)</f>
        <v/>
      </c>
      <c r="G39" s="27">
        <f>SUM(G5:G38)</f>
        <v/>
      </c>
      <c r="H39" s="27">
        <f>SUM(H5:H38)</f>
        <v/>
      </c>
      <c r="I39" s="27">
        <f>SUM(I5:I38)</f>
        <v/>
      </c>
      <c r="J39" s="27">
        <f>SUM(J5:J38)</f>
        <v/>
      </c>
      <c r="K39" s="27">
        <f>SUM(K5:K38)</f>
        <v/>
      </c>
      <c r="L39" s="27">
        <f>SUM(L5:L38)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8" t="inlineStr">
        <is>
          <t>PCPM - primitives as typed operations, skills as pipelines (v2)</t>
        </is>
      </c>
    </row>
    <row r="2">
      <c r="A2" s="29" t="inlineStr"/>
    </row>
    <row r="3">
      <c r="A3" s="30" t="inlineStr">
        <is>
          <t>What changed from v1</t>
        </is>
      </c>
    </row>
    <row r="4">
      <c r="A4" s="29" t="inlineStr">
        <is>
          <t>v1 gave each skill a 'primary' and 'secondary' primitive. That ordering was a ranking by importance, and it was not reproducible - 18 primitive pairs appeared in both orders. v2 replaces ranking with SEQUENCE: the order in which the student performs the operations. Sequence is observable and checkable, so the same pairs that looked like noise now carry information.</t>
        </is>
      </c>
    </row>
    <row r="5">
      <c r="A5" s="29" t="inlineStr">
        <is>
          <t>Example: 'Solve linear equations: word problems' is Represent -&gt; Constrain (translate, then solve). 'Graph solutions to two-step inequalities' is Constrain -&gt; Represent (solve, then draw). Same two primitives, opposite order, genuinely different tasks.</t>
        </is>
      </c>
    </row>
    <row r="6">
      <c r="A6" s="29" t="inlineStr"/>
    </row>
    <row r="7">
      <c r="A7" s="30" t="inlineStr">
        <is>
          <t>The two-layer model</t>
        </is>
      </c>
    </row>
    <row r="8">
      <c r="A8" s="29" t="inlineStr">
        <is>
          <t>Layer 1 - PRIMITIVES. Ten typed operations, each with a rule the student learns once. See the Primitive Vocabulary sheet.</t>
        </is>
      </c>
    </row>
    <row r="9">
      <c r="A9" s="29" t="inlineStr">
        <is>
          <t>Layer 2 - COMPOSITION. Which primitives to invoke and in what order. This is the solver's judgement, not a memorised procedure. See the Pipeline Library sheet.</t>
        </is>
      </c>
    </row>
    <row r="10">
      <c r="A10" s="29" t="inlineStr">
        <is>
          <t>This is the pedagogical claim: teach 10 operations and the skill of recognising which to call, instead of 306 separate procedures.</t>
        </is>
      </c>
    </row>
    <row r="11">
      <c r="A11" s="29" t="inlineStr"/>
    </row>
    <row r="12">
      <c r="A12" s="30" t="inlineStr">
        <is>
          <t>Classification rules (so a second reviewer can reproduce or contest this)</t>
        </is>
      </c>
    </row>
    <row r="13">
      <c r="A13" s="29" t="inlineStr">
        <is>
          <t>1. Ignore the curriculum category. Classify only by the reasoning performed.</t>
        </is>
      </c>
    </row>
    <row r="14">
      <c r="A14" s="29" t="inlineStr">
        <is>
          <t>2. Record steps in the order the student performs them, not by importance.</t>
        </is>
      </c>
    </row>
    <row r="15">
      <c r="A15" s="29" t="inlineStr">
        <is>
          <t>3. Collapse identical consecutive steps. Two rewrites in a row are one Transform.</t>
        </is>
      </c>
    </row>
    <row r="16">
      <c r="A16" s="29" t="inlineStr">
        <is>
          <t>4. No length cap. If a skill needs three steps, record three.</t>
        </is>
      </c>
    </row>
    <row r="17">
      <c r="A17" s="29" t="inlineStr">
        <is>
          <t>5. If a step is just applying a rule the primitive already owns, it is NOT a separate step. Interior angles of polygons is Measure alone - (n-2)x180 is Measure's formula, not an act of Generalize.</t>
        </is>
      </c>
    </row>
    <row r="18">
      <c r="A18" s="29" t="inlineStr">
        <is>
          <t>6. Generalize is reserved for genuinely INFERRING a new rule from cases. Applying a known rule is never Generalize.</t>
        </is>
      </c>
    </row>
    <row r="19">
      <c r="A19" s="29" t="inlineStr">
        <is>
          <t>7. Rewriting within one notation = Transform. Moving content across notations = Represent.</t>
        </is>
      </c>
    </row>
    <row r="20">
      <c r="A20" s="29" t="inlineStr">
        <is>
          <t>8. Producing a magnitude = Measure. Finding values that satisfy conditions = Constrain.</t>
        </is>
      </c>
    </row>
    <row r="21">
      <c r="A21" s="29" t="inlineStr">
        <is>
          <t>9. Splitting a whole = Decompose. Assembling parts = Compose.</t>
        </is>
      </c>
    </row>
    <row r="22">
      <c r="A22" s="29" t="inlineStr">
        <is>
          <t>10. Deciding truth = Verify. Assigning a category = Identify. Both are terminal.</t>
        </is>
      </c>
    </row>
    <row r="23">
      <c r="A23" s="29" t="inlineStr"/>
    </row>
    <row r="24">
      <c r="A24" s="30" t="inlineStr">
        <is>
          <t>Headline results</t>
        </is>
      </c>
    </row>
    <row r="25">
      <c r="A25" s="29" t="inlineStr">
        <is>
          <t>- 306 skills classified, 0 unclassified.</t>
        </is>
      </c>
    </row>
    <row r="26">
      <c r="A26" s="29" t="inlineStr">
        <is>
          <t>- 42 distinct pipelines over 10 primitives.</t>
        </is>
      </c>
    </row>
    <row r="27">
      <c r="A27" s="29" t="inlineStr">
        <is>
          <t>- 222 skills (73%) need exactly one primitive. Median pipeline length 1, maximum 3.</t>
        </is>
      </c>
    </row>
    <row r="28">
      <c r="A28" s="29" t="inlineStr">
        <is>
          <t>- 0 type errors across all pipelines; Verify and Identify are terminal in 100% of cases, as predicted.</t>
        </is>
      </c>
    </row>
    <row r="29">
      <c r="A29" s="29" t="inlineStr">
        <is>
          <t>- Generalize, the one primitive with no definable rule, appears in 7 skills (2.3%).</t>
        </is>
      </c>
    </row>
    <row r="30">
      <c r="A30" s="29" t="inlineStr"/>
    </row>
    <row r="31">
      <c r="A31" s="30" t="inlineStr">
        <is>
          <t>Open problems - deliberately not resolved</t>
        </is>
      </c>
    </row>
    <row r="32">
      <c r="A32" s="29" t="inlineStr">
        <is>
          <t>- Transform still carries 82 uses and may hide a Rewrite / Evaluate split. Test: does a student who can simplify sqrt(50) reliably evaluate 3^4, and vice versa? If not, it is two primitives.</t>
        </is>
      </c>
    </row>
    <row r="33">
      <c r="A33" s="29" t="inlineStr">
        <is>
          <t>- Compose appears 13 times. Still the weakest primitive, though the v1 cap was hiding some of its uses. Extending to Grade 11 should settle whether it earns its place.</t>
        </is>
      </c>
    </row>
    <row r="34">
      <c r="A34" s="29" t="inlineStr">
        <is>
          <t>- Three input types were widened to make the type check pass (see Type Check sheet). Each needs independent justification or the test is circular.</t>
        </is>
      </c>
    </row>
    <row r="35">
      <c r="A35" s="29" t="inlineStr">
        <is>
          <t>- 14 pipelines occur exactly once. Single-use pipelines are where a mis-classification would hide.</t>
        </is>
      </c>
    </row>
    <row r="36">
      <c r="A36" s="29" t="inlineStr">
        <is>
          <t>- Inter-rater agreement has NOT been tested. One reviewer produced this. That is the single biggest outstanding gap in the evidence.</t>
        </is>
      </c>
    </row>
    <row r="37">
      <c r="A37" s="29" t="inlineStr"/>
    </row>
    <row r="38">
      <c r="A38" s="30" t="inlineStr">
        <is>
          <t>Scope</t>
        </is>
      </c>
    </row>
    <row r="39">
      <c r="A39" s="29" t="inlineStr">
        <is>
          <t>All 306 skills published on https://ca.ixl.com/math/grade-10 (34 categories, A-HH), retrieved 2026-07-20. No Grade 9 or 11 content added; no listed skill dropped.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2026-07-20T19:07:48Z</dcterms:created>
  <dcterms:modified xsi:type="dcterms:W3CDTF">2026-07-20T19:07:48Z</dcterms:modified>
</cp:coreProperties>
</file>